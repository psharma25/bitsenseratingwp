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hecklist" sheetId="2" state="visible" r:id="rId2"/>
    <sheet xmlns:r="http://schemas.openxmlformats.org/officeDocument/2006/relationships" name="Domain Playbooks" sheetId="3" state="visible" r:id="rId3"/>
    <sheet xmlns:r="http://schemas.openxmlformats.org/officeDocument/2006/relationships" name="Framework Crosswalk" sheetId="4" state="visible" r:id="rId4"/>
    <sheet xmlns:r="http://schemas.openxmlformats.org/officeDocument/2006/relationships" name="Threat Model (reference)" sheetId="5" state="visible" r:id="rId5"/>
    <sheet xmlns:r="http://schemas.openxmlformats.org/officeDocument/2006/relationships" name="Glossary" sheetId="6" state="visible" r:id="rId6"/>
  </sheets>
  <definedNames>
    <definedName name="_xlnm._FilterDatabase" localSheetId="1" hidden="1">'Checklist'!$A$1:$O$41</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Arial"/>
      <b val="1"/>
      <color rgb="00232F3E"/>
      <sz val="18"/>
    </font>
    <font>
      <name val="Arial"/>
      <color rgb="0057606A"/>
      <sz val="11"/>
    </font>
    <font>
      <name val="Arial"/>
      <b val="1"/>
      <color rgb="00EC7211"/>
      <sz val="9"/>
    </font>
    <font>
      <name val="Arial"/>
      <b val="1"/>
      <color rgb="00EC7211"/>
      <sz val="12"/>
    </font>
    <font>
      <name val="Arial"/>
      <color rgb="00EC7211"/>
      <sz val="10"/>
    </font>
    <font>
      <name val="Arial"/>
      <color rgb="0057606A"/>
      <sz val="10"/>
    </font>
    <font>
      <name val="Arial"/>
      <b val="1"/>
      <color rgb="00FFFFFF"/>
      <sz val="10"/>
    </font>
    <font>
      <name val="Arial"/>
      <color rgb="001F2328"/>
      <sz val="10"/>
    </font>
    <font>
      <name val="Arial"/>
      <b val="1"/>
      <color rgb="001F2328"/>
      <sz val="10"/>
    </font>
    <font>
      <name val="Arial"/>
      <b val="1"/>
      <color rgb="00EC7211"/>
      <sz val="11"/>
    </font>
    <font>
      <name val="Arial"/>
      <b val="1"/>
      <color rgb="001A7F37"/>
      <sz val="10"/>
    </font>
    <font>
      <name val="Arial"/>
      <b val="1"/>
      <color rgb="008250DF"/>
      <sz val="10"/>
    </font>
    <font>
      <name val="Arial"/>
      <b val="1"/>
      <color rgb="000969DA"/>
      <sz val="10"/>
    </font>
    <font>
      <name val="Arial"/>
      <b val="1"/>
      <color rgb="009A6700"/>
      <sz val="10"/>
    </font>
    <font>
      <name val="Arial"/>
      <b val="1"/>
      <color rgb="00C2570C"/>
      <sz val="10"/>
    </font>
    <font>
      <name val="Arial"/>
      <i val="1"/>
      <color rgb="0057606A"/>
      <sz val="9"/>
    </font>
    <font>
      <name val="Arial"/>
      <color rgb="001F2328"/>
      <sz val="9.5"/>
    </font>
    <font>
      <name val="Arial"/>
      <b val="1"/>
      <color rgb="001F2328"/>
      <sz val="9.5"/>
    </font>
    <font>
      <name val="Arial"/>
      <b val="1"/>
      <color rgb="008A1C24"/>
      <sz val="9.5"/>
    </font>
    <font>
      <name val="Arial"/>
      <color rgb="001A7F37"/>
      <sz val="9"/>
    </font>
    <font>
      <name val="Arial"/>
      <color rgb="008250DF"/>
      <sz val="9"/>
    </font>
    <font>
      <name val="Arial"/>
      <color rgb="000969DA"/>
      <sz val="9"/>
    </font>
    <font>
      <name val="Arial"/>
      <color rgb="009A6700"/>
      <sz val="9"/>
    </font>
    <font>
      <name val="Arial"/>
      <color rgb="00C2570C"/>
      <sz val="9"/>
    </font>
    <font>
      <name val="Arial"/>
      <b val="1"/>
      <color rgb="007A4E0B"/>
      <sz val="9.5"/>
    </font>
    <font>
      <name val="Arial"/>
      <color rgb="001A7F37"/>
      <sz val="9.5"/>
    </font>
    <font>
      <name val="Arial"/>
      <color rgb="000969DA"/>
      <sz val="9.5"/>
    </font>
    <font>
      <name val="Arial"/>
      <color rgb="008A1C24"/>
      <sz val="9.5"/>
    </font>
    <font>
      <name val="Arial"/>
      <color rgb="009A6700"/>
      <sz val="9.5"/>
    </font>
    <font>
      <name val="Arial"/>
      <color rgb="001A5C2E"/>
      <sz val="9.5"/>
    </font>
  </fonts>
  <fills count="23">
    <fill>
      <patternFill/>
    </fill>
    <fill>
      <patternFill patternType="gray125"/>
    </fill>
    <fill>
      <patternFill patternType="solid">
        <fgColor rgb="00232F3E"/>
      </patternFill>
    </fill>
    <fill>
      <patternFill patternType="solid">
        <fgColor rgb="00EAF4E3"/>
      </patternFill>
    </fill>
    <fill>
      <patternFill patternType="solid">
        <fgColor rgb="00F3EEFB"/>
      </patternFill>
    </fill>
    <fill>
      <patternFill patternType="solid">
        <fgColor rgb="00EAF2FB"/>
      </patternFill>
    </fill>
    <fill>
      <patternFill patternType="solid">
        <fgColor rgb="00FFF4E0"/>
      </patternFill>
    </fill>
    <fill>
      <patternFill patternType="solid">
        <fgColor rgb="00FFF0E6"/>
      </patternFill>
    </fill>
    <fill>
      <patternFill patternType="solid">
        <fgColor rgb="001A7F37"/>
      </patternFill>
    </fill>
    <fill>
      <patternFill patternType="solid">
        <fgColor rgb="008250DF"/>
      </patternFill>
    </fill>
    <fill>
      <patternFill patternType="solid">
        <fgColor rgb="000969DA"/>
      </patternFill>
    </fill>
    <fill>
      <patternFill patternType="solid">
        <fgColor rgb="009A6700"/>
      </patternFill>
    </fill>
    <fill>
      <patternFill patternType="solid">
        <fgColor rgb="00C2570C"/>
      </patternFill>
    </fill>
    <fill>
      <patternFill patternType="solid">
        <fgColor rgb="00E8EEF6"/>
      </patternFill>
    </fill>
    <fill>
      <patternFill patternType="solid">
        <fgColor rgb="00FBE4E3"/>
      </patternFill>
    </fill>
    <fill>
      <patternFill patternType="solid">
        <fgColor rgb="00E7F1EF"/>
      </patternFill>
    </fill>
    <fill>
      <patternFill patternType="solid">
        <fgColor rgb="00FBEFD6"/>
      </patternFill>
    </fill>
    <fill>
      <patternFill patternType="solid">
        <fgColor rgb="00F0EAF7"/>
      </patternFill>
    </fill>
    <fill>
      <patternFill patternType="solid">
        <fgColor rgb="00FBF0E3"/>
      </patternFill>
    </fill>
    <fill>
      <patternFill patternType="solid">
        <fgColor rgb="00EAF3EC"/>
      </patternFill>
    </fill>
    <fill>
      <patternFill patternType="solid">
        <fgColor rgb="00F3EEF0"/>
      </patternFill>
    </fill>
    <fill>
      <patternFill patternType="solid">
        <fgColor rgb="00FFE9D8"/>
      </patternFill>
    </fill>
    <fill>
      <patternFill patternType="solid">
        <fgColor rgb="00EDEFF2"/>
      </patternFill>
    </fill>
  </fills>
  <borders count="5">
    <border>
      <left/>
      <right/>
      <top/>
      <bottom/>
      <diagonal/>
    </border>
    <border>
      <left style="thin">
        <color rgb="00E3E8EE"/>
      </left>
      <right style="thin">
        <color rgb="00E3E8EE"/>
      </right>
      <top style="thin">
        <color rgb="00E3E8EE"/>
      </top>
      <bottom style="thin">
        <color rgb="00E3E8EE"/>
      </bottom>
    </border>
    <border>
      <left/>
      <right/>
      <top style="thin">
        <color rgb="00E3E8EE"/>
      </top>
      <bottom/>
      <diagonal/>
    </border>
    <border>
      <left/>
      <right style="thin">
        <color rgb="00E3E8EE"/>
      </right>
      <top style="thin">
        <color rgb="00E3E8EE"/>
      </top>
      <bottom/>
      <diagonal/>
    </border>
    <border>
      <left/>
      <right style="thin">
        <color rgb="00E3E8EE"/>
      </right>
      <top style="thin">
        <color rgb="00E3E8EE"/>
      </top>
      <bottom style="thin">
        <color rgb="00E3E8EE"/>
      </bottom>
      <diagonal/>
    </border>
  </borders>
  <cellStyleXfs count="1">
    <xf numFmtId="0" fontId="0" fillId="0" borderId="0"/>
  </cellStyleXfs>
  <cellXfs count="67">
    <xf numFmtId="0" fontId="0" fillId="0" borderId="0" pivotButton="0" quotePrefix="0" xfId="0"/>
    <xf numFmtId="0" fontId="3"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9"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1" applyAlignment="1" pivotButton="0" quotePrefix="0" xfId="0">
      <alignment horizontal="left" vertical="center" wrapText="1"/>
    </xf>
    <xf numFmtId="164" fontId="6" fillId="0" borderId="1" applyAlignment="1" pivotButton="0" quotePrefix="0" xfId="0">
      <alignment horizontal="center" vertical="center" wrapText="1"/>
    </xf>
    <xf numFmtId="0" fontId="10" fillId="0" borderId="0" pivotButton="0" quotePrefix="0" xfId="0"/>
    <xf numFmtId="0" fontId="8" fillId="0" borderId="0" pivotButton="0" quotePrefix="0" xfId="0"/>
    <xf numFmtId="0" fontId="8" fillId="0" borderId="0" applyAlignment="1" pivotButton="0" quotePrefix="0" xfId="0">
      <alignment horizontal="center" vertical="center" wrapText="1"/>
    </xf>
    <xf numFmtId="0" fontId="11" fillId="3" borderId="1" applyAlignment="1" pivotButton="0" quotePrefix="0" xfId="0">
      <alignment horizontal="left" vertical="center" wrapText="1"/>
    </xf>
    <xf numFmtId="0" fontId="0" fillId="0" borderId="4" pivotButton="0" quotePrefix="0" xfId="0"/>
    <xf numFmtId="0" fontId="12" fillId="4"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6" borderId="1" applyAlignment="1" pivotButton="0" quotePrefix="0" xfId="0">
      <alignment horizontal="left" vertical="center" wrapText="1"/>
    </xf>
    <xf numFmtId="0" fontId="15" fillId="7" borderId="1" applyAlignment="1" pivotButton="0" quotePrefix="0" xfId="0">
      <alignment horizontal="left" vertical="center" wrapText="1"/>
    </xf>
    <xf numFmtId="0" fontId="16" fillId="0" borderId="0" applyAlignment="1" pivotButton="0" quotePrefix="0" xfId="0">
      <alignment horizontal="left" vertical="top"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18" fillId="13" borderId="1" applyAlignment="1" pivotButton="0" quotePrefix="0" xfId="0">
      <alignment horizontal="left" vertical="center" wrapText="1"/>
    </xf>
    <xf numFmtId="0" fontId="17" fillId="0" borderId="1" applyAlignment="1" pivotButton="0" quotePrefix="0" xfId="0">
      <alignment horizontal="center" vertical="top" wrapText="1"/>
    </xf>
    <xf numFmtId="0" fontId="17" fillId="0" borderId="1" applyAlignment="1" pivotButton="0" quotePrefix="0" xfId="0">
      <alignment horizontal="left" vertical="top" wrapText="1"/>
    </xf>
    <xf numFmtId="0" fontId="19" fillId="14" borderId="1" applyAlignment="1" pivotButton="0" quotePrefix="0" xfId="0">
      <alignment horizontal="center" vertical="center" wrapText="1"/>
    </xf>
    <xf numFmtId="0" fontId="20" fillId="3" borderId="1" applyAlignment="1" pivotButton="0" quotePrefix="0" xfId="0">
      <alignment horizontal="left" vertical="top" wrapText="1"/>
    </xf>
    <xf numFmtId="0" fontId="21" fillId="4" borderId="1" applyAlignment="1" pivotButton="0" quotePrefix="0" xfId="0">
      <alignment horizontal="left" vertical="top" wrapText="1"/>
    </xf>
    <xf numFmtId="0" fontId="22" fillId="5" borderId="1" applyAlignment="1" pivotButton="0" quotePrefix="0" xfId="0">
      <alignment horizontal="left" vertical="top" wrapText="1"/>
    </xf>
    <xf numFmtId="0" fontId="23" fillId="6" borderId="1" applyAlignment="1" pivotButton="0" quotePrefix="0" xfId="0">
      <alignment horizontal="left" vertical="top" wrapText="1"/>
    </xf>
    <xf numFmtId="0" fontId="24" fillId="7" borderId="1" applyAlignment="1" pivotButton="0" quotePrefix="0" xfId="0">
      <alignment horizontal="left" vertical="top" wrapText="1"/>
    </xf>
    <xf numFmtId="0" fontId="18" fillId="15" borderId="1" applyAlignment="1" pivotButton="0" quotePrefix="0" xfId="0">
      <alignment horizontal="left" vertical="center" wrapText="1"/>
    </xf>
    <xf numFmtId="0" fontId="25" fillId="16" borderId="1" applyAlignment="1" pivotButton="0" quotePrefix="0" xfId="0">
      <alignment horizontal="center" vertical="center" wrapText="1"/>
    </xf>
    <xf numFmtId="0" fontId="18" fillId="17" borderId="1" applyAlignment="1" pivotButton="0" quotePrefix="0" xfId="0">
      <alignment horizontal="left" vertical="center" wrapText="1"/>
    </xf>
    <xf numFmtId="0" fontId="16" fillId="4" borderId="1" applyAlignment="1" pivotButton="0" quotePrefix="0" xfId="0">
      <alignment horizontal="left" vertical="top" wrapText="1"/>
    </xf>
    <xf numFmtId="0" fontId="18" fillId="18" borderId="1" applyAlignment="1" pivotButton="0" quotePrefix="0" xfId="0">
      <alignment horizontal="left" vertical="center" wrapText="1"/>
    </xf>
    <xf numFmtId="0" fontId="18" fillId="19" borderId="1" applyAlignment="1" pivotButton="0" quotePrefix="0" xfId="0">
      <alignment horizontal="left" vertical="center" wrapText="1"/>
    </xf>
    <xf numFmtId="0" fontId="18" fillId="20" borderId="1" applyAlignment="1" pivotButton="0" quotePrefix="0" xfId="0">
      <alignment horizontal="left" vertical="center" wrapText="1"/>
    </xf>
    <xf numFmtId="0" fontId="18" fillId="21" borderId="1" applyAlignment="1" pivotButton="0" quotePrefix="0" xfId="0">
      <alignment horizontal="left" vertical="center" wrapText="1"/>
    </xf>
    <xf numFmtId="0" fontId="18" fillId="22" borderId="1" applyAlignment="1" pivotButton="0" quotePrefix="0" xfId="0">
      <alignment horizontal="left" vertical="center" wrapText="1"/>
    </xf>
    <xf numFmtId="0" fontId="9" fillId="13" borderId="1" applyAlignment="1" pivotButton="0" quotePrefix="0" xfId="0">
      <alignment horizontal="left" vertical="center" wrapText="1"/>
    </xf>
    <xf numFmtId="0" fontId="26" fillId="3" borderId="1" applyAlignment="1" pivotButton="0" quotePrefix="0" xfId="0">
      <alignment horizontal="left" vertical="top" wrapText="1"/>
    </xf>
    <xf numFmtId="0" fontId="27" fillId="5" borderId="1" applyAlignment="1" pivotButton="0" quotePrefix="0" xfId="0">
      <alignment horizontal="left" vertical="top" wrapText="1"/>
    </xf>
    <xf numFmtId="0" fontId="28" fillId="14" borderId="1" applyAlignment="1" pivotButton="0" quotePrefix="0" xfId="0">
      <alignment horizontal="left" vertical="top" wrapText="1"/>
    </xf>
    <xf numFmtId="0" fontId="29" fillId="6" borderId="1" applyAlignment="1" pivotButton="0" quotePrefix="0" xfId="0">
      <alignment horizontal="left" vertical="top" wrapText="1"/>
    </xf>
    <xf numFmtId="0" fontId="9" fillId="15" borderId="1" applyAlignment="1" pivotButton="0" quotePrefix="0" xfId="0">
      <alignment horizontal="left" vertical="center" wrapText="1"/>
    </xf>
    <xf numFmtId="0" fontId="9" fillId="17" borderId="1" applyAlignment="1" pivotButton="0" quotePrefix="0" xfId="0">
      <alignment horizontal="left" vertical="center" wrapText="1"/>
    </xf>
    <xf numFmtId="0" fontId="9" fillId="18" borderId="1" applyAlignment="1" pivotButton="0" quotePrefix="0" xfId="0">
      <alignment horizontal="left" vertical="center" wrapText="1"/>
    </xf>
    <xf numFmtId="0" fontId="9" fillId="19" borderId="1" applyAlignment="1" pivotButton="0" quotePrefix="0" xfId="0">
      <alignment horizontal="left" vertical="center" wrapText="1"/>
    </xf>
    <xf numFmtId="0" fontId="9" fillId="20" borderId="1" applyAlignment="1" pivotButton="0" quotePrefix="0" xfId="0">
      <alignment horizontal="left" vertical="center" wrapText="1"/>
    </xf>
    <xf numFmtId="0" fontId="9" fillId="21" borderId="1" applyAlignment="1" pivotButton="0" quotePrefix="0" xfId="0">
      <alignment horizontal="left" vertical="center" wrapText="1"/>
    </xf>
    <xf numFmtId="0" fontId="9" fillId="22" borderId="1" applyAlignment="1" pivotButton="0" quotePrefix="0" xfId="0">
      <alignment horizontal="left" vertical="center" wrapText="1"/>
    </xf>
    <xf numFmtId="0" fontId="18" fillId="0" borderId="1" applyAlignment="1" pivotButton="0" quotePrefix="0" xfId="0">
      <alignment horizontal="left" vertical="center" wrapText="1"/>
    </xf>
    <xf numFmtId="0" fontId="20" fillId="3" borderId="1" applyAlignment="1" pivotButton="0" quotePrefix="0" xfId="0">
      <alignment horizontal="center" vertical="center" wrapText="1"/>
    </xf>
    <xf numFmtId="0" fontId="21" fillId="4" borderId="1" applyAlignment="1" pivotButton="0" quotePrefix="0" xfId="0">
      <alignment horizontal="center" vertical="center" wrapText="1"/>
    </xf>
    <xf numFmtId="0" fontId="22" fillId="5" borderId="1" applyAlignment="1" pivotButton="0" quotePrefix="0" xfId="0">
      <alignment horizontal="center" vertical="center" wrapText="1"/>
    </xf>
    <xf numFmtId="0" fontId="23"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19" fillId="14" borderId="1" applyAlignment="1" pivotButton="0" quotePrefix="0" xfId="0">
      <alignment horizontal="left" vertical="top" wrapText="1"/>
    </xf>
    <xf numFmtId="0" fontId="30" fillId="3" borderId="1" applyAlignment="1" pivotButton="0" quotePrefix="0" xfId="0">
      <alignment horizontal="left" vertical="top" wrapText="1"/>
    </xf>
    <xf numFmtId="0" fontId="18" fillId="0" borderId="1" applyAlignment="1" pivotButton="0" quotePrefix="0" xfId="0">
      <alignment horizontal="left" vertical="top" wrapText="1"/>
    </xf>
  </cellXfs>
  <cellStyles count="1">
    <cellStyle name="Normal" xfId="0" builtinId="0" hidden="0"/>
  </cellStyles>
  <dxfs count="4">
    <dxf>
      <font>
        <name val="Arial"/>
        <b val="1"/>
        <color rgb="001A6B34"/>
        <sz val="9.5"/>
      </font>
      <fill>
        <patternFill patternType="solid">
          <fgColor rgb="00D6ECD4"/>
        </patternFill>
      </fill>
    </dxf>
    <dxf>
      <font>
        <name val="Arial"/>
        <b val="1"/>
        <color rgb="007A4E0B"/>
        <sz val="9.5"/>
      </font>
      <fill>
        <patternFill patternType="solid">
          <fgColor rgb="00FCF0CE"/>
        </patternFill>
      </fill>
    </dxf>
    <dxf>
      <font>
        <name val="Arial"/>
        <b val="1"/>
        <color rgb="008A1C24"/>
        <sz val="9.5"/>
      </font>
      <fill>
        <patternFill patternType="solid">
          <fgColor rgb="00F6E0DF"/>
        </patternFill>
      </fill>
    </dxf>
    <dxf>
      <font>
        <name val="Arial"/>
        <color rgb="0057606A"/>
        <sz val="9.5"/>
      </font>
      <fill>
        <patternFill patternType="solid">
          <fgColor rgb="00EC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35"/>
  <sheetViews>
    <sheetView showGridLines="0" workbookViewId="0">
      <selection activeCell="A1" sqref="A1"/>
    </sheetView>
  </sheetViews>
  <sheetFormatPr baseColWidth="8" defaultRowHeight="15"/>
  <cols>
    <col width="2" customWidth="1" min="1" max="1"/>
    <col width="26" customWidth="1" min="2" max="2"/>
    <col width="15" customWidth="1" min="3" max="3"/>
    <col width="15" customWidth="1" min="4" max="4"/>
    <col width="15" customWidth="1" min="5" max="5"/>
    <col width="15" customWidth="1" min="6" max="6"/>
    <col width="16" customWidth="1" min="7" max="7"/>
  </cols>
  <sheetData>
    <row r="1">
      <c r="B1" s="1" t="inlineStr">
        <is>
          <t>© 2026 BitSense · thebitsense.com — Confidential. All rights reserved.</t>
        </is>
      </c>
    </row>
    <row r="2">
      <c r="B2" s="2" t="inlineStr">
        <is>
          <t>AWS Cloud Security for Agentic AI</t>
        </is>
      </c>
    </row>
    <row r="3">
      <c r="B3" s="3" t="inlineStr">
        <is>
          <t>Security-architecture checklist — mapped to SOC 2 Type II, CMMC L1, HIPAA, EU CRA &amp; AWS best practices</t>
        </is>
      </c>
    </row>
    <row r="5">
      <c r="B5" s="4" t="inlineStr">
        <is>
          <t>How to use</t>
        </is>
      </c>
    </row>
    <row r="6">
      <c r="B6" s="5" t="inlineStr">
        <is>
          <t>•</t>
        </is>
      </c>
      <c r="C6" s="6" t="inlineStr">
        <is>
          <t>Work the Checklist tab: 40 controls across 8 domains, each mapped to all five frameworks.</t>
        </is>
      </c>
    </row>
    <row r="7">
      <c r="B7" s="5" t="inlineStr">
        <is>
          <t>•</t>
        </is>
      </c>
      <c r="C7" s="6" t="inlineStr">
        <is>
          <t>Set Status (dropdown), Owner and Notes per control — the dashboard below updates automatically.</t>
        </is>
      </c>
    </row>
    <row r="8">
      <c r="B8" s="5" t="inlineStr">
        <is>
          <t>•</t>
        </is>
      </c>
      <c r="C8" s="6" t="inlineStr">
        <is>
          <t>Domain Playbooks summarize what's easy, tools, pitfalls and fixes per domain.</t>
        </is>
      </c>
    </row>
    <row r="9">
      <c r="B9" s="5" t="inlineStr">
        <is>
          <t>•</t>
        </is>
      </c>
      <c r="C9" s="6" t="inlineStr">
        <is>
          <t>Framework Crosswalk shows where the five frameworks converge; Glossary defines terms.</t>
        </is>
      </c>
    </row>
    <row r="10">
      <c r="B10" s="5" t="inlineStr">
        <is>
          <t>•</t>
        </is>
      </c>
      <c r="C10" s="6" t="inlineStr">
        <is>
          <t>Threat Model (reference) lists the trust-zone threats and their NIST SP 800-53 mitigations.</t>
        </is>
      </c>
    </row>
    <row r="12">
      <c r="B12" s="4" t="inlineStr">
        <is>
          <t>Status dashboard</t>
        </is>
      </c>
    </row>
    <row r="13">
      <c r="B13" s="7" t="inlineStr">
        <is>
          <t>Metric</t>
        </is>
      </c>
      <c r="C13" s="7" t="inlineStr">
        <is>
          <t>Count</t>
        </is>
      </c>
      <c r="D13" s="7" t="inlineStr">
        <is>
          <t>% of total</t>
        </is>
      </c>
    </row>
    <row r="14">
      <c r="B14" s="8" t="inlineStr">
        <is>
          <t>Total controls</t>
        </is>
      </c>
      <c r="C14" s="9">
        <f>COUNTA(Checklist!C2:C41)</f>
        <v/>
      </c>
      <c r="D14" s="10" t="n"/>
    </row>
    <row r="15">
      <c r="B15" s="11" t="inlineStr">
        <is>
          <t>Implemented</t>
        </is>
      </c>
      <c r="C15" s="9">
        <f>COUNTIF(Checklist!M2:M41,"Implemented")</f>
        <v/>
      </c>
      <c r="D15" s="12">
        <f>IFERROR(C15/$C$14,0)</f>
        <v/>
      </c>
    </row>
    <row r="16">
      <c r="B16" s="11" t="inlineStr">
        <is>
          <t>In progress</t>
        </is>
      </c>
      <c r="C16" s="9">
        <f>COUNTIF(Checklist!M2:M41,"In progress")</f>
        <v/>
      </c>
      <c r="D16" s="12">
        <f>IFERROR(C16/$C$14,0)</f>
        <v/>
      </c>
    </row>
    <row r="17">
      <c r="B17" s="11" t="inlineStr">
        <is>
          <t>Not started</t>
        </is>
      </c>
      <c r="C17" s="9">
        <f>COUNTIF(Checklist!M2:M41,"Not started")</f>
        <v/>
      </c>
      <c r="D17" s="12">
        <f>IFERROR(C17/$C$14,0)</f>
        <v/>
      </c>
    </row>
    <row r="18">
      <c r="B18" s="11" t="inlineStr">
        <is>
          <t>N/A</t>
        </is>
      </c>
      <c r="C18" s="9">
        <f>COUNTIF(Checklist!M2:M41,"N/A")</f>
        <v/>
      </c>
      <c r="D18" s="12">
        <f>IFERROR(C18/$C$14,0)</f>
        <v/>
      </c>
    </row>
    <row r="19">
      <c r="B19" s="11" t="inlineStr">
        <is>
          <t>Untracked (blank)</t>
        </is>
      </c>
      <c r="C19" s="9">
        <f>COUNTBLANK(Checklist!M2:M41)</f>
        <v/>
      </c>
      <c r="D19" s="12">
        <f>IFERROR(C19/$C$14,0)</f>
        <v/>
      </c>
    </row>
    <row r="21">
      <c r="B21" s="13" t="inlineStr">
        <is>
          <t>By priority</t>
        </is>
      </c>
      <c r="D21" s="13" t="inlineStr">
        <is>
          <t>By focus</t>
        </is>
      </c>
    </row>
    <row r="22">
      <c r="B22" s="14" t="inlineStr">
        <is>
          <t>P1 foundational</t>
        </is>
      </c>
      <c r="C22" s="15">
        <f>COUNTIF(Checklist!D2:D41,"P1")</f>
        <v/>
      </c>
      <c r="D22" s="14" t="inlineStr">
        <is>
          <t>Agentic AI items</t>
        </is>
      </c>
      <c r="E22" s="15">
        <f>COUNTIF(Checklist!A2:A41,"Agentic AI security")</f>
        <v/>
      </c>
    </row>
    <row r="23">
      <c r="B23" s="14" t="inlineStr">
        <is>
          <t>P2 important</t>
        </is>
      </c>
      <c r="C23" s="15">
        <f>COUNTIF(Checklist!D2:D41,"P2")</f>
        <v/>
      </c>
    </row>
    <row r="25">
      <c r="B25" s="13" t="inlineStr">
        <is>
          <t>Framework legend</t>
        </is>
      </c>
    </row>
    <row r="26">
      <c r="B26" s="16" t="inlineStr">
        <is>
          <t>SOC 2 Type II</t>
        </is>
      </c>
      <c r="C26" s="17" t="n"/>
    </row>
    <row r="27">
      <c r="B27" s="18" t="inlineStr">
        <is>
          <t>CMMC Level 1</t>
        </is>
      </c>
      <c r="C27" s="17" t="n"/>
    </row>
    <row r="28">
      <c r="B28" s="19" t="inlineStr">
        <is>
          <t>HIPAA Security &amp; Privacy</t>
        </is>
      </c>
      <c r="C28" s="17" t="n"/>
    </row>
    <row r="29">
      <c r="B29" s="20" t="inlineStr">
        <is>
          <t>EU CRA</t>
        </is>
      </c>
      <c r="C29" s="17" t="n"/>
    </row>
    <row r="30">
      <c r="B30" s="21" t="inlineStr">
        <is>
          <t>AWS best practice</t>
        </is>
      </c>
      <c r="C30" s="17" t="n"/>
    </row>
    <row r="32">
      <c r="B32" s="22" t="inlineStr">
        <is>
          <t>Framework mappings are illustrative engineering guidance to accelerate design and audit-readiness — not a substitute for a SOC 2 auditor, C3PAO, HIPAA counsel, or CRA conformity assessment. Applicability depends on your data types (FCI vs PHI vs CUI), whether you place a product on the EU market, and your executed AWS BAA. 5 controls are flagged ‘Exceeds L1’ because CMMC Level 1 is a 17-practice basic-safeguarding floor for FCI.</t>
        </is>
      </c>
    </row>
    <row r="33"/>
    <row r="34"/>
    <row r="35"/>
  </sheetData>
  <mergeCells count="11">
    <mergeCell ref="C7:G7"/>
    <mergeCell ref="B30:C30"/>
    <mergeCell ref="B29:C29"/>
    <mergeCell ref="C6:G6"/>
    <mergeCell ref="C10:G10"/>
    <mergeCell ref="B32:G35"/>
    <mergeCell ref="B28:C28"/>
    <mergeCell ref="B26:C26"/>
    <mergeCell ref="B27:C27"/>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5" customWidth="1" min="2" max="2"/>
    <col width="26" customWidth="1" min="3" max="3"/>
    <col width="9" customWidth="1" min="4" max="4"/>
    <col width="48" customWidth="1" min="5" max="5"/>
    <col width="48" customWidth="1" min="6" max="6"/>
    <col width="42" customWidth="1" min="7" max="7"/>
    <col width="20" customWidth="1" min="8" max="8"/>
    <col width="22" customWidth="1" min="9" max="9"/>
    <col width="22" customWidth="1" min="10" max="10"/>
    <col width="18" customWidth="1" min="11" max="11"/>
    <col width="20" customWidth="1" min="12" max="12"/>
    <col width="14" customWidth="1" min="13" max="13"/>
    <col width="16" customWidth="1" min="14" max="14"/>
    <col width="30" customWidth="1" min="15" max="15"/>
  </cols>
  <sheetData>
    <row r="1" ht="30" customHeight="1">
      <c r="A1" s="7" t="inlineStr">
        <is>
          <t>Domain</t>
        </is>
      </c>
      <c r="B1" s="7" t="inlineStr">
        <is>
          <t>#</t>
        </is>
      </c>
      <c r="C1" s="7" t="inlineStr">
        <is>
          <t>Control</t>
        </is>
      </c>
      <c r="D1" s="7" t="inlineStr">
        <is>
          <t>Priority</t>
        </is>
      </c>
      <c r="E1" s="7" t="inlineStr">
        <is>
          <t>What &amp; why</t>
        </is>
      </c>
      <c r="F1" s="7" t="inlineStr">
        <is>
          <t>Implement on AWS</t>
        </is>
      </c>
      <c r="G1" s="7" t="inlineStr">
        <is>
          <t>Continuous verification</t>
        </is>
      </c>
      <c r="H1" s="23" t="inlineStr">
        <is>
          <t>SOC 2 Type II</t>
        </is>
      </c>
      <c r="I1" s="24" t="inlineStr">
        <is>
          <t>CMMC L1</t>
        </is>
      </c>
      <c r="J1" s="25" t="inlineStr">
        <is>
          <t>HIPAA</t>
        </is>
      </c>
      <c r="K1" s="26" t="inlineStr">
        <is>
          <t>EU CRA</t>
        </is>
      </c>
      <c r="L1" s="27" t="inlineStr">
        <is>
          <t>AWS best practice</t>
        </is>
      </c>
      <c r="M1" s="7" t="inlineStr">
        <is>
          <t>Status</t>
        </is>
      </c>
      <c r="N1" s="7" t="inlineStr">
        <is>
          <t>Owner</t>
        </is>
      </c>
      <c r="O1" s="7" t="inlineStr">
        <is>
          <t>Notes</t>
        </is>
      </c>
    </row>
    <row r="2" ht="42" customHeight="1">
      <c r="A2" s="28" t="inlineStr">
        <is>
          <t>Identity &amp; access management</t>
        </is>
      </c>
      <c r="B2" s="29" t="inlineStr">
        <is>
          <t>01</t>
        </is>
      </c>
      <c r="C2" s="30" t="inlineStr">
        <is>
          <t>Federated SSO via IAM Identity Center (no IAM users)</t>
        </is>
      </c>
      <c r="D2" s="31" t="inlineStr">
        <is>
          <t>P1</t>
        </is>
      </c>
      <c r="E2" s="30" t="inlineStr">
        <is>
          <t>Centralize all human access through IAM Identity Center federated to your IdP (Entra ID / Okta); eliminate long-lived IAM console users and access keys.</t>
        </is>
      </c>
      <c r="F2" s="30" t="inlineStr">
        <is>
          <t>Connect Identity Center to the IdP; define permission sets by job role; deny IAM user creation with an SCP; enforce session duration limits.</t>
        </is>
      </c>
      <c r="G2" s="30" t="inlineStr">
        <is>
          <t>Credentials report + Access Analyzer; Config rule iam-user-no-policies; EventBridge alert on any IAM user or long-lived access-key creation.</t>
        </is>
      </c>
      <c r="H2" s="32" t="inlineStr">
        <is>
          <t>CC6.1, CC6.2</t>
        </is>
      </c>
      <c r="I2" s="33" t="inlineStr">
        <is>
          <t>AC.L1-3.1.1, IA.L1-3.5.1</t>
        </is>
      </c>
      <c r="J2" s="34" t="inlineStr">
        <is>
          <t>§164.312(a)(1), §164.312(d)</t>
        </is>
      </c>
      <c r="K2" s="35" t="inlineStr">
        <is>
          <t>Annex I(1)(d)</t>
        </is>
      </c>
      <c r="L2" s="36" t="inlineStr">
        <is>
          <t>SEC02 · Identity Center</t>
        </is>
      </c>
      <c r="M2" s="29" t="inlineStr"/>
      <c r="N2" s="30" t="inlineStr"/>
      <c r="O2" s="30" t="inlineStr"/>
    </row>
    <row r="3" ht="42" customHeight="1">
      <c r="A3" s="28" t="inlineStr">
        <is>
          <t>Identity &amp; access management</t>
        </is>
      </c>
      <c r="B3" s="29" t="inlineStr">
        <is>
          <t>02</t>
        </is>
      </c>
      <c r="C3" s="30" t="inlineStr">
        <is>
          <t>Least-privilege roles &amp; permission boundaries</t>
        </is>
      </c>
      <c r="D3" s="31" t="inlineStr">
        <is>
          <t>P1</t>
        </is>
      </c>
      <c r="E3" s="30" t="inlineStr">
        <is>
          <t>Grant only the permissions a principal needs via scoped roles; cap them with permission boundaries and organization SCPs; prefer ABAC by tag.</t>
        </is>
      </c>
      <c r="F3" s="30" t="inlineStr">
        <is>
          <t>Generate policies from CloudTrail with Access Analyzer; attach boundaries to every role; deny wildcard actions in production; review quarterly.</t>
        </is>
      </c>
      <c r="G3" s="30" t="inlineStr">
        <is>
          <t>Access Analyzer unused-access findings; Config; scheduled least-privilege review; alert on policies granting * on * .</t>
        </is>
      </c>
      <c r="H3" s="32" t="inlineStr">
        <is>
          <t>CC6.3</t>
        </is>
      </c>
      <c r="I3" s="33" t="inlineStr">
        <is>
          <t>AC.L1-3.1.1, AC.L1-3.1.2</t>
        </is>
      </c>
      <c r="J3" s="34" t="inlineStr">
        <is>
          <t>§164.312(a)(1), §164.312(a)(2)(i)</t>
        </is>
      </c>
      <c r="K3" s="35" t="inlineStr">
        <is>
          <t>Annex I(1)(k)</t>
        </is>
      </c>
      <c r="L3" s="36" t="inlineStr">
        <is>
          <t>SEC03</t>
        </is>
      </c>
      <c r="M3" s="29" t="inlineStr"/>
      <c r="N3" s="30" t="inlineStr"/>
      <c r="O3" s="30" t="inlineStr"/>
    </row>
    <row r="4" ht="42" customHeight="1">
      <c r="A4" s="28" t="inlineStr">
        <is>
          <t>Identity &amp; access management</t>
        </is>
      </c>
      <c r="B4" s="29" t="inlineStr">
        <is>
          <t>03</t>
        </is>
      </c>
      <c r="C4" s="30" t="inlineStr">
        <is>
          <t>Strong authentication (MFA / passkeys)</t>
        </is>
      </c>
      <c r="D4" s="31" t="inlineStr">
        <is>
          <t>P1</t>
        </is>
      </c>
      <c r="E4" s="30" t="inlineStr">
        <is>
          <t>Enforce MFA (WebAuthn/passkeys preferred) for all human access at the IdP, ahead of the federation assertion. (MFA exceeds CMMC L1 but is required by SOC 2 / HIPAA.)</t>
        </is>
      </c>
      <c r="F4" s="30" t="inlineStr">
        <is>
          <t>Require MFA in IdP Conditional Access; mandate hardware/passkey factors for privileged roles; block legacy auth.</t>
        </is>
      </c>
      <c r="G4" s="30" t="inlineStr">
        <is>
          <t>IdP sign-in logs; alert on non-MFA or weak-factor logins for privileged roles.</t>
        </is>
      </c>
      <c r="H4" s="32" t="inlineStr">
        <is>
          <t>CC6.1</t>
        </is>
      </c>
      <c r="I4" s="33" t="inlineStr">
        <is>
          <t>IA.L1-3.5.2</t>
        </is>
      </c>
      <c r="J4" s="34" t="inlineStr">
        <is>
          <t>§164.312(d)</t>
        </is>
      </c>
      <c r="K4" s="35" t="inlineStr">
        <is>
          <t>Annex I(1)(d)</t>
        </is>
      </c>
      <c r="L4" s="36" t="inlineStr">
        <is>
          <t>SEC02</t>
        </is>
      </c>
      <c r="M4" s="29" t="inlineStr"/>
      <c r="N4" s="30" t="inlineStr"/>
      <c r="O4" s="30" t="inlineStr"/>
    </row>
    <row r="5" ht="42" customHeight="1">
      <c r="A5" s="28" t="inlineStr">
        <is>
          <t>Identity &amp; access management</t>
        </is>
      </c>
      <c r="B5" s="29" t="inlineStr">
        <is>
          <t>04</t>
        </is>
      </c>
      <c r="C5" s="30" t="inlineStr">
        <is>
          <t>No long-lived credentials (STS / OIDC / Roles Anywhere)</t>
        </is>
      </c>
      <c r="D5" s="31" t="inlineStr">
        <is>
          <t>P1</t>
        </is>
      </c>
      <c r="E5" s="30" t="inlineStr">
        <is>
          <t>Replace static access keys with short-lived STS credentials: OIDC for CI/CD, IAM Roles Anywhere for on-prem, instance/task roles for workloads.</t>
        </is>
      </c>
      <c r="F5" s="30" t="inlineStr">
        <is>
          <t>Migrate pipelines to GitHub/GitLab OIDC; remove static keys; set SCP denying access-key creation; cap STS session length.</t>
        </is>
      </c>
      <c r="G5" s="30" t="inlineStr">
        <is>
          <t>Access Analyzer + Credentials report for active keys; alert on key age &gt; 0; audit STS AssumeRole patterns.</t>
        </is>
      </c>
      <c r="H5" s="32" t="inlineStr">
        <is>
          <t>CC6.1</t>
        </is>
      </c>
      <c r="I5" s="33" t="inlineStr">
        <is>
          <t>IA.L1-3.5.2</t>
        </is>
      </c>
      <c r="J5" s="34" t="inlineStr">
        <is>
          <t>§164.312(d), §164.312(a)(2)(iv)</t>
        </is>
      </c>
      <c r="K5" s="35" t="inlineStr">
        <is>
          <t>Annex I(1)(j)</t>
        </is>
      </c>
      <c r="L5" s="36" t="inlineStr">
        <is>
          <t>SEC02</t>
        </is>
      </c>
      <c r="M5" s="29" t="inlineStr"/>
      <c r="N5" s="30" t="inlineStr"/>
      <c r="O5" s="30" t="inlineStr"/>
    </row>
    <row r="6" ht="42" customHeight="1">
      <c r="A6" s="28" t="inlineStr">
        <is>
          <t>Identity &amp; access management</t>
        </is>
      </c>
      <c r="B6" s="29" t="inlineStr">
        <is>
          <t>05</t>
        </is>
      </c>
      <c r="C6" s="30" t="inlineStr">
        <is>
          <t>Root account protection</t>
        </is>
      </c>
      <c r="D6" s="31" t="inlineStr">
        <is>
          <t>P1</t>
        </is>
      </c>
      <c r="E6" s="30" t="inlineStr">
        <is>
          <t>Secure the management-account root: hardware MFA, no access keys, no day-to-day use; alarm on any root activity.</t>
        </is>
      </c>
      <c r="F6" s="30" t="inlineStr">
        <is>
          <t>Enable hardware MFA on root; delete root keys; store credentials in a break-glass vault; CloudTrail metric filter + alarm on root usage.</t>
        </is>
      </c>
      <c r="G6" s="30" t="inlineStr">
        <is>
          <t>Security Hub root-MFA control; CloudWatch alarm on RootAccountUsage; quarterly break-glass test.</t>
        </is>
      </c>
      <c r="H6" s="32" t="inlineStr">
        <is>
          <t>CC6.1</t>
        </is>
      </c>
      <c r="I6" s="33" t="inlineStr">
        <is>
          <t>AC.L1-3.1.1</t>
        </is>
      </c>
      <c r="J6" s="34" t="inlineStr">
        <is>
          <t>§164.308(a)(4)</t>
        </is>
      </c>
      <c r="K6" s="35" t="inlineStr">
        <is>
          <t>Annex I(1)(d)</t>
        </is>
      </c>
      <c r="L6" s="36" t="inlineStr">
        <is>
          <t>SEC01</t>
        </is>
      </c>
      <c r="M6" s="29" t="inlineStr"/>
      <c r="N6" s="30" t="inlineStr"/>
      <c r="O6" s="30" t="inlineStr"/>
    </row>
    <row r="7" ht="42" customHeight="1">
      <c r="A7" s="37" t="inlineStr">
        <is>
          <t>Network &amp; perimeter</t>
        </is>
      </c>
      <c r="B7" s="29" t="inlineStr">
        <is>
          <t>06</t>
        </is>
      </c>
      <c r="C7" s="30" t="inlineStr">
        <is>
          <t>VPC segmentation &amp; private subnets</t>
        </is>
      </c>
      <c r="D7" s="31" t="inlineStr">
        <is>
          <t>P1</t>
        </is>
      </c>
      <c r="E7" s="30" t="inlineStr">
        <is>
          <t>Separate public, app, and data tiers into distinct subnets; keep databases and agent/data tiers in private subnets with no internet gateway route.</t>
        </is>
      </c>
      <c r="F7" s="30" t="inlineStr">
        <is>
          <t>Design multi-AZ VPCs with public/private tiers; NAT for egress only; route tables that isolate data subnets; separate accounts per environment.</t>
        </is>
      </c>
      <c r="G7" s="30" t="inlineStr">
        <is>
          <t>Config rules for subnet routes; Network Access Analyzer reachability checks; alert on new IGW routes to private subnets.</t>
        </is>
      </c>
      <c r="H7" s="32" t="inlineStr">
        <is>
          <t>CC6.6</t>
        </is>
      </c>
      <c r="I7" s="33" t="inlineStr">
        <is>
          <t>SC.L1-3.13.1, SC.L1-3.13.5</t>
        </is>
      </c>
      <c r="J7" s="34" t="inlineStr">
        <is>
          <t>§164.312(e)(1)</t>
        </is>
      </c>
      <c r="K7" s="35" t="inlineStr">
        <is>
          <t>Annex I(1)(k)</t>
        </is>
      </c>
      <c r="L7" s="36" t="inlineStr">
        <is>
          <t>SEC05</t>
        </is>
      </c>
      <c r="M7" s="29" t="inlineStr"/>
      <c r="N7" s="30" t="inlineStr"/>
      <c r="O7" s="30" t="inlineStr"/>
    </row>
    <row r="8" ht="42" customHeight="1">
      <c r="A8" s="37" t="inlineStr">
        <is>
          <t>Network &amp; perimeter</t>
        </is>
      </c>
      <c r="B8" s="29" t="inlineStr">
        <is>
          <t>07</t>
        </is>
      </c>
      <c r="C8" s="30" t="inlineStr">
        <is>
          <t>Least-open security groups (no 0.0.0.0/0 to sensitive ports)</t>
        </is>
      </c>
      <c r="D8" s="31" t="inlineStr">
        <is>
          <t>P1</t>
        </is>
      </c>
      <c r="E8" s="30" t="inlineStr">
        <is>
          <t>Security groups reference each other rather than CIDRs where possible; no 0.0.0.0/0 to SSH/RDP/database ports; document every ingress rule.</t>
        </is>
      </c>
      <c r="F8" s="30" t="inlineStr">
        <is>
          <t>Adopt SG-to-SG references; remove wide-open ingress; use Session Manager instead of SSH; enforce with Config + SCP.</t>
        </is>
      </c>
      <c r="G8" s="30" t="inlineStr">
        <is>
          <t>Config restricted-ssh / restricted-common-ports rules; Security Hub findings; weekly diff of SG rules.</t>
        </is>
      </c>
      <c r="H8" s="32" t="inlineStr">
        <is>
          <t>CC6.6</t>
        </is>
      </c>
      <c r="I8" s="33" t="inlineStr">
        <is>
          <t>SC.L1-3.13.1</t>
        </is>
      </c>
      <c r="J8" s="34" t="inlineStr">
        <is>
          <t>§164.312(e)(1)</t>
        </is>
      </c>
      <c r="K8" s="35" t="inlineStr">
        <is>
          <t>Annex I(1)(k)</t>
        </is>
      </c>
      <c r="L8" s="36" t="inlineStr">
        <is>
          <t>SEC05</t>
        </is>
      </c>
      <c r="M8" s="29" t="inlineStr"/>
      <c r="N8" s="30" t="inlineStr"/>
      <c r="O8" s="30" t="inlineStr"/>
    </row>
    <row r="9" ht="42" customHeight="1">
      <c r="A9" s="37" t="inlineStr">
        <is>
          <t>Network &amp; perimeter</t>
        </is>
      </c>
      <c r="B9" s="29" t="inlineStr">
        <is>
          <t>08</t>
        </is>
      </c>
      <c r="C9" s="30" t="inlineStr">
        <is>
          <t>Private connectivity (VPC endpoints / PrivateLink)</t>
        </is>
      </c>
      <c r="D9" s="38" t="inlineStr">
        <is>
          <t>P2</t>
        </is>
      </c>
      <c r="E9" s="30" t="inlineStr">
        <is>
          <t>Reach AWS services (S3, Bedrock, Secrets Manager, KMS) over VPC/interface endpoints; use PrivateLink for partner and internal services.</t>
        </is>
      </c>
      <c r="F9" s="30" t="inlineStr">
        <is>
          <t>Create gateway/interface endpoints; endpoint policies restricting to your org; deny public S3/Bedrock access via SCP/endpoint policy.</t>
        </is>
      </c>
      <c r="G9" s="30" t="inlineStr">
        <is>
          <t>VPC Flow Logs show no public egress to AWS APIs; Config for endpoint presence; alert on public service calls.</t>
        </is>
      </c>
      <c r="H9" s="32" t="inlineStr">
        <is>
          <t>CC6.6, CC6.7</t>
        </is>
      </c>
      <c r="I9" s="33" t="inlineStr">
        <is>
          <t>SC.L1-3.13.1</t>
        </is>
      </c>
      <c r="J9" s="34" t="inlineStr">
        <is>
          <t>§164.312(e)(1)</t>
        </is>
      </c>
      <c r="K9" s="35" t="inlineStr">
        <is>
          <t>Annex I(1)(e)</t>
        </is>
      </c>
      <c r="L9" s="36" t="inlineStr">
        <is>
          <t>SEC05</t>
        </is>
      </c>
      <c r="M9" s="29" t="inlineStr"/>
      <c r="N9" s="30" t="inlineStr"/>
      <c r="O9" s="30" t="inlineStr"/>
    </row>
    <row r="10" ht="42" customHeight="1">
      <c r="A10" s="37" t="inlineStr">
        <is>
          <t>Network &amp; perimeter</t>
        </is>
      </c>
      <c r="B10" s="29" t="inlineStr">
        <is>
          <t>09</t>
        </is>
      </c>
      <c r="C10" s="30" t="inlineStr">
        <is>
          <t>Edge protection — WAF, Shield, CloudFront</t>
        </is>
      </c>
      <c r="D10" s="38" t="inlineStr">
        <is>
          <t>P2</t>
        </is>
      </c>
      <c r="E10" s="30" t="inlineStr">
        <is>
          <t>Front public entry points with CloudFront + AWS WAF (managed rule groups, rate-based rules) and Shield for DDoS resilience.</t>
        </is>
      </c>
      <c r="F10" s="30" t="inlineStr">
        <is>
          <t>Attach WAF web ACLs to ALB/API Gateway/CloudFront; enable Shield Advanced for critical apps; log WAF to the SIEM.</t>
        </is>
      </c>
      <c r="G10" s="30" t="inlineStr">
        <is>
          <t>WAF sampled-requests and blocked-count dashboards; alert on rule-match spikes and on unprotected public endpoints.</t>
        </is>
      </c>
      <c r="H10" s="32" t="inlineStr">
        <is>
          <t>CC6.6, A1.2</t>
        </is>
      </c>
      <c r="I10" s="33" t="inlineStr">
        <is>
          <t>SC.L1-3.13.1</t>
        </is>
      </c>
      <c r="J10" s="34" t="inlineStr">
        <is>
          <t>§164.312(c)(1)</t>
        </is>
      </c>
      <c r="K10" s="35" t="inlineStr">
        <is>
          <t>Annex I(1)(h)</t>
        </is>
      </c>
      <c r="L10" s="36" t="inlineStr">
        <is>
          <t>SEC05</t>
        </is>
      </c>
      <c r="M10" s="29" t="inlineStr"/>
      <c r="N10" s="30" t="inlineStr"/>
      <c r="O10" s="30" t="inlineStr"/>
    </row>
    <row r="11" ht="54" customHeight="1">
      <c r="A11" s="39" t="inlineStr">
        <is>
          <t>Data protection &amp; encryption</t>
        </is>
      </c>
      <c r="B11" s="29" t="inlineStr">
        <is>
          <t>10</t>
        </is>
      </c>
      <c r="C11" s="30" t="inlineStr">
        <is>
          <t>Encryption at rest with KMS (CMKs)</t>
        </is>
      </c>
      <c r="D11" s="31" t="inlineStr">
        <is>
          <t>P1</t>
        </is>
      </c>
      <c r="E11" s="30" t="inlineStr">
        <is>
          <t>Encrypt all data stores (S3, EBS, RDS, DynamoDB, vector stores) with customer-managed KMS keys; scope key policies; enable rotation. (Encryption at rest exceeds CMMC L1.)</t>
        </is>
      </c>
      <c r="F11" s="30" t="inlineStr">
        <is>
          <t>Create per-domain CMKs with least-privilege key policies + grants; enforce encryption via SCP/Config; separate keys for PHI/regulated data.</t>
        </is>
      </c>
      <c r="G11" s="30" t="inlineStr">
        <is>
          <t>Config rules encrypted-volumes / s3-default-encryption-kms; alert on unencrypted resources or key-policy changes.</t>
        </is>
      </c>
      <c r="H11" s="32" t="inlineStr">
        <is>
          <t>CC6.1, C1.1</t>
        </is>
      </c>
      <c r="I11" s="40" t="inlineStr">
        <is>
          <t>Exceeds L1 (basic safeguarding)</t>
        </is>
      </c>
      <c r="J11" s="34" t="inlineStr">
        <is>
          <t>§164.312(a)(2)(iv)</t>
        </is>
      </c>
      <c r="K11" s="35" t="inlineStr">
        <is>
          <t>Annex I(1)(e)</t>
        </is>
      </c>
      <c r="L11" s="36" t="inlineStr">
        <is>
          <t>SEC08</t>
        </is>
      </c>
      <c r="M11" s="29" t="inlineStr"/>
      <c r="N11" s="30" t="inlineStr"/>
      <c r="O11" s="30" t="inlineStr"/>
    </row>
    <row r="12" ht="42" customHeight="1">
      <c r="A12" s="39" t="inlineStr">
        <is>
          <t>Data protection &amp; encryption</t>
        </is>
      </c>
      <c r="B12" s="29" t="inlineStr">
        <is>
          <t>11</t>
        </is>
      </c>
      <c r="C12" s="30" t="inlineStr">
        <is>
          <t>S3 Block Public Access &amp; access controls</t>
        </is>
      </c>
      <c r="D12" s="31" t="inlineStr">
        <is>
          <t>P1</t>
        </is>
      </c>
      <c r="E12" s="30" t="inlineStr">
        <is>
          <t>Enable account-level S3 Block Public Access; disable ACLs (bucket-owner-enforced); grant via least-privilege bucket policies and access points.</t>
        </is>
      </c>
      <c r="F12" s="30" t="inlineStr">
        <is>
          <t>Turn on BPA org-wide; set ownership controls; use S3 Access Points per workload; deny public policies with SCP.</t>
        </is>
      </c>
      <c r="G12" s="30" t="inlineStr">
        <is>
          <t>Access Analyzer for S3 external access; Config s3-bucket-public-read/write-prohibited; alert on BPA disablement.</t>
        </is>
      </c>
      <c r="H12" s="32" t="inlineStr">
        <is>
          <t>CC6.1, CC6.3</t>
        </is>
      </c>
      <c r="I12" s="33" t="inlineStr">
        <is>
          <t>AC.L1-3.1.22, SC.L1-3.13.5</t>
        </is>
      </c>
      <c r="J12" s="34" t="inlineStr">
        <is>
          <t>§164.312(a)(1)</t>
        </is>
      </c>
      <c r="K12" s="35" t="inlineStr">
        <is>
          <t>Annex I(1)(e)</t>
        </is>
      </c>
      <c r="L12" s="36" t="inlineStr">
        <is>
          <t>SEC08</t>
        </is>
      </c>
      <c r="M12" s="29" t="inlineStr"/>
      <c r="N12" s="30" t="inlineStr"/>
      <c r="O12" s="30" t="inlineStr"/>
    </row>
    <row r="13" ht="42" customHeight="1">
      <c r="A13" s="39" t="inlineStr">
        <is>
          <t>Data protection &amp; encryption</t>
        </is>
      </c>
      <c r="B13" s="29" t="inlineStr">
        <is>
          <t>12</t>
        </is>
      </c>
      <c r="C13" s="30" t="inlineStr">
        <is>
          <t>Encryption in transit (TLS everywhere)</t>
        </is>
      </c>
      <c r="D13" s="31" t="inlineStr">
        <is>
          <t>P1</t>
        </is>
      </c>
      <c r="E13" s="30" t="inlineStr">
        <is>
          <t>Enforce TLS 1.2+ for all client, service-to-service, and database connections; use ACM-managed certs; deny plaintext. (In-transit encryption exceeds CMMC L1.)</t>
        </is>
      </c>
      <c r="F13" s="30" t="inlineStr">
        <is>
          <t>ACM certificates on ALB/CloudFront/API GW; require SSL on S3/RDS via policy; modern TLS policies; mTLS for sensitive internal calls.</t>
        </is>
      </c>
      <c r="G13" s="30" t="inlineStr">
        <is>
          <t>Config alb/cloudfront TLS policy rules; SSLPolicy checks; alert on non-TLS listeners or S3 aws:SecureTransport gaps.</t>
        </is>
      </c>
      <c r="H13" s="32" t="inlineStr">
        <is>
          <t>CC6.7</t>
        </is>
      </c>
      <c r="I13" s="40" t="inlineStr">
        <is>
          <t>Exceeds L1 (basic safeguarding)</t>
        </is>
      </c>
      <c r="J13" s="34" t="inlineStr">
        <is>
          <t>§164.312(e)(1), §164.312(e)(2)(ii)</t>
        </is>
      </c>
      <c r="K13" s="35" t="inlineStr">
        <is>
          <t>Annex I(1)(e)</t>
        </is>
      </c>
      <c r="L13" s="36" t="inlineStr">
        <is>
          <t>SEC09</t>
        </is>
      </c>
      <c r="M13" s="29" t="inlineStr"/>
      <c r="N13" s="30" t="inlineStr"/>
      <c r="O13" s="30" t="inlineStr"/>
    </row>
    <row r="14" ht="42" customHeight="1">
      <c r="A14" s="39" t="inlineStr">
        <is>
          <t>Data protection &amp; encryption</t>
        </is>
      </c>
      <c r="B14" s="29" t="inlineStr">
        <is>
          <t>13</t>
        </is>
      </c>
      <c r="C14" s="30" t="inlineStr">
        <is>
          <t>Secrets management &amp; rotation (Secrets Manager / Parameter Store)</t>
        </is>
      </c>
      <c r="D14" s="31" t="inlineStr">
        <is>
          <t>P1</t>
        </is>
      </c>
      <c r="E14" s="30" t="inlineStr">
        <is>
          <t>Store all secrets in Secrets Manager (or SSM Parameter Store, encrypted) with automatic rotation; inject at runtime via role, never bake in.</t>
        </is>
      </c>
      <c r="F14" s="30" t="inlineStr">
        <is>
          <t>Migrate secrets to Secrets Manager; enable rotation Lambdas; scope read to specific roles; scan repos/images for leaked secrets.</t>
        </is>
      </c>
      <c r="G14" s="30" t="inlineStr">
        <is>
          <t>Secret-rotation status dashboard; alert on secrets past rotation age; secret-scanning findings from the pipeline.</t>
        </is>
      </c>
      <c r="H14" s="32" t="inlineStr">
        <is>
          <t>CC6.1</t>
        </is>
      </c>
      <c r="I14" s="33" t="inlineStr">
        <is>
          <t>IA.L1-3.5.2</t>
        </is>
      </c>
      <c r="J14" s="34" t="inlineStr">
        <is>
          <t>§164.312(a)(2)(iv)</t>
        </is>
      </c>
      <c r="K14" s="35" t="inlineStr">
        <is>
          <t>Annex I(1)(j)</t>
        </is>
      </c>
      <c r="L14" s="36" t="inlineStr">
        <is>
          <t>SEC08</t>
        </is>
      </c>
      <c r="M14" s="29" t="inlineStr"/>
      <c r="N14" s="30" t="inlineStr"/>
      <c r="O14" s="30" t="inlineStr"/>
    </row>
    <row r="15" ht="42" customHeight="1">
      <c r="A15" s="39" t="inlineStr">
        <is>
          <t>Data protection &amp; encryption</t>
        </is>
      </c>
      <c r="B15" s="29" t="inlineStr">
        <is>
          <t>14</t>
        </is>
      </c>
      <c r="C15" s="30" t="inlineStr">
        <is>
          <t>Data classification &amp; PII/PHI discovery (Macie)</t>
        </is>
      </c>
      <c r="D15" s="38" t="inlineStr">
        <is>
          <t>P2</t>
        </is>
      </c>
      <c r="E15" s="30" t="inlineStr">
        <is>
          <t>Classify data and continuously discover PII/PHI with Macie; apply minimum-necessary access and de-identification where possible.</t>
        </is>
      </c>
      <c r="F15" s="30" t="inlineStr">
        <is>
          <t>Enable Macie on sensitive buckets; tag data by classification; enforce access by classification tag (ABAC); de-identify per HIPAA §164.514.</t>
        </is>
      </c>
      <c r="G15" s="30" t="inlineStr">
        <is>
          <t>Macie sensitive-data findings; classification-tag coverage report; alert on PHI in unexpected locations.</t>
        </is>
      </c>
      <c r="H15" s="32" t="inlineStr">
        <is>
          <t>CC6.1, C1.1</t>
        </is>
      </c>
      <c r="I15" s="33" t="inlineStr">
        <is>
          <t>AC.L1-3.1.22</t>
        </is>
      </c>
      <c r="J15" s="34" t="inlineStr">
        <is>
          <t>§164.514, §164.502(b)</t>
        </is>
      </c>
      <c r="K15" s="35" t="inlineStr">
        <is>
          <t>Annex I(1)(f)</t>
        </is>
      </c>
      <c r="L15" s="36" t="inlineStr">
        <is>
          <t>SEC07</t>
        </is>
      </c>
      <c r="M15" s="29" t="inlineStr"/>
      <c r="N15" s="30" t="inlineStr"/>
      <c r="O15" s="30" t="inlineStr"/>
    </row>
    <row r="16" ht="54" customHeight="1">
      <c r="A16" s="41" t="inlineStr">
        <is>
          <t>Logging, detection &amp; monitoring</t>
        </is>
      </c>
      <c r="B16" s="29" t="inlineStr">
        <is>
          <t>15</t>
        </is>
      </c>
      <c r="C16" s="30" t="inlineStr">
        <is>
          <t>Organization-wide CloudTrail (immutable)</t>
        </is>
      </c>
      <c r="D16" s="31" t="inlineStr">
        <is>
          <t>P1</t>
        </is>
      </c>
      <c r="E16" s="30" t="inlineStr">
        <is>
          <t>Enable an organization trail capturing management + data events to a dedicated, locked log-archive account; make it immutable. (Audit-log retention depth exceeds CMMC L1.)</t>
        </is>
      </c>
      <c r="F16" s="30" t="inlineStr">
        <is>
          <t>Org trail → central S3 in a log-archive account with Object Lock + SCP-deny delete; log file validation on; CloudTrail Lake for query.</t>
        </is>
      </c>
      <c r="G16" s="30" t="inlineStr">
        <is>
          <t>Config cloudtrail-enabled + log-file-validation; alert on trail stop/config change; periodic integrity validation.</t>
        </is>
      </c>
      <c r="H16" s="32" t="inlineStr">
        <is>
          <t>CC7.2, CC7.3</t>
        </is>
      </c>
      <c r="I16" s="33" t="inlineStr">
        <is>
          <t>SI.L1-3.14.1</t>
        </is>
      </c>
      <c r="J16" s="34" t="inlineStr">
        <is>
          <t>§164.312(b), §164.308(a)(1)(ii)(D)</t>
        </is>
      </c>
      <c r="K16" s="35" t="inlineStr">
        <is>
          <t>Annex I(2)</t>
        </is>
      </c>
      <c r="L16" s="36" t="inlineStr">
        <is>
          <t>SEC04</t>
        </is>
      </c>
      <c r="M16" s="29" t="inlineStr"/>
      <c r="N16" s="30" t="inlineStr"/>
      <c r="O16" s="30" t="inlineStr"/>
    </row>
    <row r="17" ht="42" customHeight="1">
      <c r="A17" s="41" t="inlineStr">
        <is>
          <t>Logging, detection &amp; monitoring</t>
        </is>
      </c>
      <c r="B17" s="29" t="inlineStr">
        <is>
          <t>16</t>
        </is>
      </c>
      <c r="C17" s="30" t="inlineStr">
        <is>
          <t>Threat detection with GuardDuty (incl. malware, EKS, RDS, Lambda, S3)</t>
        </is>
      </c>
      <c r="D17" s="31" t="inlineStr">
        <is>
          <t>P1</t>
        </is>
      </c>
      <c r="E17" s="30" t="inlineStr">
        <is>
          <t>Enable GuardDuty across the organization with all protection plans (malware, EKS runtime, RDS, Lambda, S3) and route findings to the SIEM.</t>
        </is>
      </c>
      <c r="F17" s="30" t="inlineStr">
        <is>
          <t>Turn on org-wide GuardDuty + all plans; auto-enable for new accounts; findings → Security Hub → EventBridge → response.</t>
        </is>
      </c>
      <c r="G17" s="30" t="inlineStr">
        <is>
          <t>Finding volume/severity dashboards; alert on high/critical; confirm coverage for every account and region in use.</t>
        </is>
      </c>
      <c r="H17" s="32" t="inlineStr">
        <is>
          <t>CC7.2</t>
        </is>
      </c>
      <c r="I17" s="33" t="inlineStr">
        <is>
          <t>SI.L1-3.14.2</t>
        </is>
      </c>
      <c r="J17" s="34" t="inlineStr">
        <is>
          <t>§164.308(a)(1)(ii)(D), §164.308(a)(6)</t>
        </is>
      </c>
      <c r="K17" s="35" t="inlineStr">
        <is>
          <t>Annex I(2)</t>
        </is>
      </c>
      <c r="L17" s="36" t="inlineStr">
        <is>
          <t>SEC04</t>
        </is>
      </c>
      <c r="M17" s="29" t="inlineStr"/>
      <c r="N17" s="30" t="inlineStr"/>
      <c r="O17" s="30" t="inlineStr"/>
    </row>
    <row r="18" ht="42" customHeight="1">
      <c r="A18" s="41" t="inlineStr">
        <is>
          <t>Logging, detection &amp; monitoring</t>
        </is>
      </c>
      <c r="B18" s="29" t="inlineStr">
        <is>
          <t>17</t>
        </is>
      </c>
      <c r="C18" s="30" t="inlineStr">
        <is>
          <t>Posture management — Security Hub + Config (CSPM)</t>
        </is>
      </c>
      <c r="D18" s="31" t="inlineStr">
        <is>
          <t>P1</t>
        </is>
      </c>
      <c r="E18" s="30" t="inlineStr">
        <is>
          <t>Run Security Hub with the AWS FSBP, CIS, and framework-aligned standards; back it with AWS Config recording all resources.</t>
        </is>
      </c>
      <c r="F18" s="30" t="inlineStr">
        <is>
          <t>Enable Security Hub standards org-wide; Config recorder in every account/region; conformance packs for SOC 2 / HIPAA / CMMC.</t>
        </is>
      </c>
      <c r="G18" s="30" t="inlineStr">
        <is>
          <t>Security Hub compliance score trend; Config non-compliant resources; alert on score regression.</t>
        </is>
      </c>
      <c r="H18" s="32" t="inlineStr">
        <is>
          <t>CC4.1, CC7.1</t>
        </is>
      </c>
      <c r="I18" s="33" t="inlineStr">
        <is>
          <t>SI.L1-3.14.1</t>
        </is>
      </c>
      <c r="J18" s="34" t="inlineStr">
        <is>
          <t>§164.308(a)(1)(ii)(A), §164.308(a)(8)</t>
        </is>
      </c>
      <c r="K18" s="35" t="inlineStr">
        <is>
          <t>Annex I(1)(b)</t>
        </is>
      </c>
      <c r="L18" s="36" t="inlineStr">
        <is>
          <t>SEC01 · SEC04</t>
        </is>
      </c>
      <c r="M18" s="29" t="inlineStr"/>
      <c r="N18" s="30" t="inlineStr"/>
      <c r="O18" s="30" t="inlineStr"/>
    </row>
    <row r="19" ht="54" customHeight="1">
      <c r="A19" s="41" t="inlineStr">
        <is>
          <t>Logging, detection &amp; monitoring</t>
        </is>
      </c>
      <c r="B19" s="29" t="inlineStr">
        <is>
          <t>18</t>
        </is>
      </c>
      <c r="C19" s="30" t="inlineStr">
        <is>
          <t>Centralized log aggregation &amp; alerting</t>
        </is>
      </c>
      <c r="D19" s="38" t="inlineStr">
        <is>
          <t>P2</t>
        </is>
      </c>
      <c r="E19" s="30" t="inlineStr">
        <is>
          <t>Aggregate CloudTrail, VPC Flow, WAF, app, and agent logs into a central store (OpenSearch / CloudWatch / SIEM) with retention and correlation rules. (Depth exceeds CMMC L1.)</t>
        </is>
      </c>
      <c r="F19" s="30" t="inlineStr">
        <is>
          <t>Log destinations in a central account; retention meeting your obligations; detection rules for the findings referenced across this checklist.</t>
        </is>
      </c>
      <c r="G19" s="30" t="inlineStr">
        <is>
          <t>Ingestion-health monitors; alert if a log source stops; MTTR tracking on generated alerts.</t>
        </is>
      </c>
      <c r="H19" s="32" t="inlineStr">
        <is>
          <t>CC7.2, CC7.3</t>
        </is>
      </c>
      <c r="I19" s="40" t="inlineStr">
        <is>
          <t>Exceeds L1 (basic safeguarding)</t>
        </is>
      </c>
      <c r="J19" s="34" t="inlineStr">
        <is>
          <t>§164.312(b)</t>
        </is>
      </c>
      <c r="K19" s="35" t="inlineStr">
        <is>
          <t>Annex I(2)</t>
        </is>
      </c>
      <c r="L19" s="36" t="inlineStr">
        <is>
          <t>SEC04</t>
        </is>
      </c>
      <c r="M19" s="29" t="inlineStr"/>
      <c r="N19" s="30" t="inlineStr"/>
      <c r="O19" s="30" t="inlineStr"/>
    </row>
    <row r="20" ht="42" customHeight="1">
      <c r="A20" s="41" t="inlineStr">
        <is>
          <t>Logging, detection &amp; monitoring</t>
        </is>
      </c>
      <c r="B20" s="29" t="inlineStr">
        <is>
          <t>19</t>
        </is>
      </c>
      <c r="C20" s="30" t="inlineStr">
        <is>
          <t>Access Analyzer — external &amp; unused access</t>
        </is>
      </c>
      <c r="D20" s="38" t="inlineStr">
        <is>
          <t>P2</t>
        </is>
      </c>
      <c r="E20" s="30" t="inlineStr">
        <is>
          <t>Run IAM Access Analyzer for external-access and unused-access findings across the org; treat unexpected external access as an incident.</t>
        </is>
      </c>
      <c r="F20" s="30" t="inlineStr">
        <is>
          <t>Enable analyzers per org; triage external-access findings; remove unused roles/permissions; validate policies pre-deploy with Access Analyzer.</t>
        </is>
      </c>
      <c r="G20" s="30" t="inlineStr">
        <is>
          <t>Open external-access findings dashboard; alert on new public/cross-account exposure; unused-access cleanup cadence.</t>
        </is>
      </c>
      <c r="H20" s="32" t="inlineStr">
        <is>
          <t>CC6.3</t>
        </is>
      </c>
      <c r="I20" s="33" t="inlineStr">
        <is>
          <t>AC.L1-3.1.1, AC.L1-3.1.20</t>
        </is>
      </c>
      <c r="J20" s="34" t="inlineStr">
        <is>
          <t>§164.312(a)(1)</t>
        </is>
      </c>
      <c r="K20" s="35" t="inlineStr">
        <is>
          <t>Annex I(1)(d)</t>
        </is>
      </c>
      <c r="L20" s="36" t="inlineStr">
        <is>
          <t>SEC03</t>
        </is>
      </c>
      <c r="M20" s="29" t="inlineStr"/>
      <c r="N20" s="30" t="inlineStr"/>
      <c r="O20" s="30" t="inlineStr"/>
    </row>
    <row r="21" ht="54" customHeight="1">
      <c r="A21" s="42" t="inlineStr">
        <is>
          <t>Compute &amp; workload security</t>
        </is>
      </c>
      <c r="B21" s="29" t="inlineStr">
        <is>
          <t>20</t>
        </is>
      </c>
      <c r="C21" s="30" t="inlineStr">
        <is>
          <t>Patch &amp; vulnerability management (Inspector + SSM Patch Manager)</t>
        </is>
      </c>
      <c r="D21" s="31" t="inlineStr">
        <is>
          <t>P1</t>
        </is>
      </c>
      <c r="E21" s="30" t="inlineStr">
        <is>
          <t>Continuously scan EC2, containers, and Lambda with Amazon Inspector; patch on an SLA with SSM Patch Manager. Directly satisfies the CRA 'no known exploitable vulnerabilities' duty.</t>
        </is>
      </c>
      <c r="F21" s="30" t="inlineStr">
        <is>
          <t>Enable Inspector org-wide; define patch baselines + maintenance windows; prioritize by EPSS/severity; block deploys with critical findings.</t>
        </is>
      </c>
      <c r="G21" s="30" t="inlineStr">
        <is>
          <t>Inspector open-finding age vs SLA; Patch Manager compliance; alert on criticals past SLA.</t>
        </is>
      </c>
      <c r="H21" s="32" t="inlineStr">
        <is>
          <t>CC7.1</t>
        </is>
      </c>
      <c r="I21" s="33" t="inlineStr">
        <is>
          <t>SI.L1-3.14.1</t>
        </is>
      </c>
      <c r="J21" s="34" t="inlineStr">
        <is>
          <t>§164.308(a)(1)(ii)(B)</t>
        </is>
      </c>
      <c r="K21" s="35" t="inlineStr">
        <is>
          <t>Annex I(2)(1)</t>
        </is>
      </c>
      <c r="L21" s="36" t="inlineStr">
        <is>
          <t>SEC06</t>
        </is>
      </c>
      <c r="M21" s="29" t="inlineStr"/>
      <c r="N21" s="30" t="inlineStr"/>
      <c r="O21" s="30" t="inlineStr"/>
    </row>
    <row r="22" ht="42" customHeight="1">
      <c r="A22" s="42" t="inlineStr">
        <is>
          <t>Compute &amp; workload security</t>
        </is>
      </c>
      <c r="B22" s="29" t="inlineStr">
        <is>
          <t>21</t>
        </is>
      </c>
      <c r="C22" s="30" t="inlineStr">
        <is>
          <t>Malware &amp; runtime protection</t>
        </is>
      </c>
      <c r="D22" s="38" t="inlineStr">
        <is>
          <t>P2</t>
        </is>
      </c>
      <c r="E22" s="30" t="inlineStr">
        <is>
          <t>Use GuardDuty Malware Protection and runtime monitoring (EKS/ECS) plus endpoint defenses; keep signatures/agents current.</t>
        </is>
      </c>
      <c r="F22" s="30" t="inlineStr">
        <is>
          <t>Enable Malware Protection + runtime monitoring; deploy runtime agents on nodes; auto-update; isolate on detection.</t>
        </is>
      </c>
      <c r="G22" s="30" t="inlineStr">
        <is>
          <t>Runtime-threat findings; agent coverage/health; alert on detection and on stale definitions.</t>
        </is>
      </c>
      <c r="H22" s="32" t="inlineStr">
        <is>
          <t>CC7.1</t>
        </is>
      </c>
      <c r="I22" s="33" t="inlineStr">
        <is>
          <t>SI.L1-3.14.2, SI.L1-3.14.4</t>
        </is>
      </c>
      <c r="J22" s="34" t="inlineStr">
        <is>
          <t>§164.308(a)(5)(ii)(B)</t>
        </is>
      </c>
      <c r="K22" s="35" t="inlineStr">
        <is>
          <t>Annex I(1)(h)</t>
        </is>
      </c>
      <c r="L22" s="36" t="inlineStr">
        <is>
          <t>SEC06</t>
        </is>
      </c>
      <c r="M22" s="29" t="inlineStr"/>
      <c r="N22" s="30" t="inlineStr"/>
      <c r="O22" s="30" t="inlineStr"/>
    </row>
    <row r="23" ht="42" customHeight="1">
      <c r="A23" s="42" t="inlineStr">
        <is>
          <t>Compute &amp; workload security</t>
        </is>
      </c>
      <c r="B23" s="29" t="inlineStr">
        <is>
          <t>22</t>
        </is>
      </c>
      <c r="C23" s="30" t="inlineStr">
        <is>
          <t>Container / EKS hardening (ECR scanning, admission control)</t>
        </is>
      </c>
      <c r="D23" s="38" t="inlineStr">
        <is>
          <t>P2</t>
        </is>
      </c>
      <c r="E23" s="30" t="inlineStr">
        <is>
          <t>Scan images in ECR, enforce admission control (only signed/approved images), and run pods with least-privilege IRSA roles and read-only filesystems.</t>
        </is>
      </c>
      <c r="F23" s="30" t="inlineStr">
        <is>
          <t>ECR enhanced scanning; image signing + admission policy; IRSA per workload; drop Linux capabilities; network policies.</t>
        </is>
      </c>
      <c r="G23" s="30" t="inlineStr">
        <is>
          <t>ECR scan findings; admission-denial logs; alert on unsigned/unscanned image deploys.</t>
        </is>
      </c>
      <c r="H23" s="32" t="inlineStr">
        <is>
          <t>CC6.8, CC7.1</t>
        </is>
      </c>
      <c r="I23" s="33" t="inlineStr">
        <is>
          <t>SI.L1-3.14.1</t>
        </is>
      </c>
      <c r="J23" s="34" t="inlineStr">
        <is>
          <t>§164.312(c)(1)</t>
        </is>
      </c>
      <c r="K23" s="35" t="inlineStr">
        <is>
          <t>Annex I(1)(k), Annex I(2)(1)</t>
        </is>
      </c>
      <c r="L23" s="36" t="inlineStr">
        <is>
          <t>SEC06</t>
        </is>
      </c>
      <c r="M23" s="29" t="inlineStr"/>
      <c r="N23" s="30" t="inlineStr"/>
      <c r="O23" s="30" t="inlineStr"/>
    </row>
    <row r="24" ht="54" customHeight="1">
      <c r="A24" s="42" t="inlineStr">
        <is>
          <t>Compute &amp; workload security</t>
        </is>
      </c>
      <c r="B24" s="29" t="inlineStr">
        <is>
          <t>23</t>
        </is>
      </c>
      <c r="C24" s="30" t="inlineStr">
        <is>
          <t>Immutable infrastructure &amp; IaC scanning</t>
        </is>
      </c>
      <c r="D24" s="38" t="inlineStr">
        <is>
          <t>P2</t>
        </is>
      </c>
      <c r="E24" s="30" t="inlineStr">
        <is>
          <t>Define infrastructure as code, scan it (cfn-guard / checkov / tfsec) for misconfig pre-deploy, and deploy immutably. Supports CRA secure-default-configuration. (Change control exceeds CMMC L1.)</t>
        </is>
      </c>
      <c r="F24" s="30" t="inlineStr">
        <is>
          <t>Gate IaC PRs on policy-as-code; no manual prod changes; pipeline-only deploys with approvals; drift detection.</t>
        </is>
      </c>
      <c r="G24" s="30" t="inlineStr">
        <is>
          <t>Pipeline scan pass rate; Config drift findings; alert on out-of-band console changes.</t>
        </is>
      </c>
      <c r="H24" s="32" t="inlineStr">
        <is>
          <t>CC8.1</t>
        </is>
      </c>
      <c r="I24" s="40" t="inlineStr">
        <is>
          <t>Exceeds L1 (basic safeguarding)</t>
        </is>
      </c>
      <c r="J24" s="34" t="inlineStr">
        <is>
          <t>§164.308(a)(1)</t>
        </is>
      </c>
      <c r="K24" s="35" t="inlineStr">
        <is>
          <t>Annex I(1)(b)</t>
        </is>
      </c>
      <c r="L24" s="36" t="inlineStr">
        <is>
          <t>SEC01</t>
        </is>
      </c>
      <c r="M24" s="29" t="inlineStr"/>
      <c r="N24" s="30" t="inlineStr"/>
      <c r="O24" s="30" t="inlineStr"/>
    </row>
    <row r="25" ht="42" customHeight="1">
      <c r="A25" s="43" t="inlineStr">
        <is>
          <t>Governance, posture &amp; compliance</t>
        </is>
      </c>
      <c r="B25" s="29" t="inlineStr">
        <is>
          <t>24</t>
        </is>
      </c>
      <c r="C25" s="30" t="inlineStr">
        <is>
          <t>Organizations + SCP guardrails + Control Tower</t>
        </is>
      </c>
      <c r="D25" s="31" t="inlineStr">
        <is>
          <t>P1</t>
        </is>
      </c>
      <c r="E25" s="30" t="inlineStr">
        <is>
          <t>Use AWS Organizations with Control Tower; enforce preventive SCPs (deny root actions, region lockdown, disallow public S3, require encryption).</t>
        </is>
      </c>
      <c r="F25" s="30" t="inlineStr">
        <is>
          <t>Deploy Control Tower landing zone; OU structure by sensitivity; SCPs for hard guardrails; detective controls for the rest.</t>
        </is>
      </c>
      <c r="G25" s="30" t="inlineStr">
        <is>
          <t>SCP coverage review; Control Tower drift/compliance dashboard; alert on guardrail changes.</t>
        </is>
      </c>
      <c r="H25" s="32" t="inlineStr">
        <is>
          <t>CC1.3, CC5.2</t>
        </is>
      </c>
      <c r="I25" s="33" t="inlineStr">
        <is>
          <t>AC.L1-3.1.1</t>
        </is>
      </c>
      <c r="J25" s="34" t="inlineStr">
        <is>
          <t>§164.308(a)(1)</t>
        </is>
      </c>
      <c r="K25" s="35" t="inlineStr">
        <is>
          <t>Annex I(1)(b)</t>
        </is>
      </c>
      <c r="L25" s="36" t="inlineStr">
        <is>
          <t>SEC01</t>
        </is>
      </c>
      <c r="M25" s="29" t="inlineStr"/>
      <c r="N25" s="30" t="inlineStr"/>
      <c r="O25" s="30" t="inlineStr"/>
    </row>
    <row r="26" ht="42" customHeight="1">
      <c r="A26" s="43" t="inlineStr">
        <is>
          <t>Governance, posture &amp; compliance</t>
        </is>
      </c>
      <c r="B26" s="29" t="inlineStr">
        <is>
          <t>25</t>
        </is>
      </c>
      <c r="C26" s="30" t="inlineStr">
        <is>
          <t>Framework conformance packs + Audit Manager</t>
        </is>
      </c>
      <c r="D26" s="38" t="inlineStr">
        <is>
          <t>P2</t>
        </is>
      </c>
      <c r="E26" s="30" t="inlineStr">
        <is>
          <t>Deploy Config conformance packs and AWS Audit Manager frameworks for SOC 2, HIPAA, and CMMC to automate control evidence.</t>
        </is>
      </c>
      <c r="F26" s="30" t="inlineStr">
        <is>
          <t>Enable Audit Manager SOC 2 / HIPAA frameworks + a CMMC/NIST 800-171 pack; assign owners; export evidence for assessors.</t>
        </is>
      </c>
      <c r="G26" s="30" t="inlineStr">
        <is>
          <t>Evidence-collection coverage; control pass/fail trend; gap list ahead of audit windows.</t>
        </is>
      </c>
      <c r="H26" s="32" t="inlineStr">
        <is>
          <t>CC4.1, CC3.1</t>
        </is>
      </c>
      <c r="I26" s="33" t="inlineStr">
        <is>
          <t>SI.L1-3.14.1</t>
        </is>
      </c>
      <c r="J26" s="34" t="inlineStr">
        <is>
          <t>§164.308(a)(8)</t>
        </is>
      </c>
      <c r="K26" s="35" t="inlineStr">
        <is>
          <t>Annex I(2)</t>
        </is>
      </c>
      <c r="L26" s="36" t="inlineStr">
        <is>
          <t>SEC01</t>
        </is>
      </c>
      <c r="M26" s="29" t="inlineStr"/>
      <c r="N26" s="30" t="inlineStr"/>
      <c r="O26" s="30" t="inlineStr"/>
    </row>
    <row r="27" ht="42" customHeight="1">
      <c r="A27" s="43" t="inlineStr">
        <is>
          <t>Governance, posture &amp; compliance</t>
        </is>
      </c>
      <c r="B27" s="29" t="inlineStr">
        <is>
          <t>26</t>
        </is>
      </c>
      <c r="C27" s="30" t="inlineStr">
        <is>
          <t>Tagging, inventory &amp; data residency</t>
        </is>
      </c>
      <c r="D27" s="38" t="inlineStr">
        <is>
          <t>P2</t>
        </is>
      </c>
      <c r="E27" s="30" t="inlineStr">
        <is>
          <t>Enforce a tagging standard (owner, data-class, environment); maintain inventory; pin regulated workloads to approved regions.</t>
        </is>
      </c>
      <c r="F27" s="30" t="inlineStr">
        <is>
          <t>Tag policies + required-tags SCP; region-restriction SCP; Resource Groups / Config aggregator inventory.</t>
        </is>
      </c>
      <c r="G27" s="30" t="inlineStr">
        <is>
          <t>Untagged-resource report; Config for tag compliance; alert on resources created outside approved regions.</t>
        </is>
      </c>
      <c r="H27" s="32" t="inlineStr">
        <is>
          <t>CC6.1, A1.1</t>
        </is>
      </c>
      <c r="I27" s="33" t="inlineStr">
        <is>
          <t>AC.L1-3.1.22</t>
        </is>
      </c>
      <c r="J27" s="34" t="inlineStr">
        <is>
          <t>§164.310(d)(1)</t>
        </is>
      </c>
      <c r="K27" s="35" t="inlineStr">
        <is>
          <t>Annex I(1)(f)</t>
        </is>
      </c>
      <c r="L27" s="36" t="inlineStr">
        <is>
          <t>SEC01</t>
        </is>
      </c>
      <c r="M27" s="29" t="inlineStr"/>
      <c r="N27" s="30" t="inlineStr"/>
      <c r="O27" s="30" t="inlineStr"/>
    </row>
    <row r="28" ht="42" customHeight="1">
      <c r="A28" s="44" t="inlineStr">
        <is>
          <t>Agentic AI security</t>
        </is>
      </c>
      <c r="B28" s="29" t="inlineStr">
        <is>
          <t>27</t>
        </is>
      </c>
      <c r="C28" s="30" t="inlineStr">
        <is>
          <t>Scoped agent identity (per-agent IAM role)</t>
        </is>
      </c>
      <c r="D28" s="31" t="inlineStr">
        <is>
          <t>P1</t>
        </is>
      </c>
      <c r="E28" s="30" t="inlineStr">
        <is>
          <t>Give every agent a dedicated, least-privilege execution role; grant tool permissions per action, never a broad standing role, and never a human's role.</t>
        </is>
      </c>
      <c r="F28" s="30" t="inlineStr">
        <is>
          <t>Bedrock Agent execution role scoped to only its tools/data; separate roles per agent and per tenant; permission boundaries; deny sensitive actions.</t>
        </is>
      </c>
      <c r="G28" s="30" t="inlineStr">
        <is>
          <t>Access Analyzer on agent roles; CloudTrail of agent AssumeRole/actions; alert on privilege growth or use outside expected scope.</t>
        </is>
      </c>
      <c r="H28" s="32" t="inlineStr">
        <is>
          <t>CC6.3</t>
        </is>
      </c>
      <c r="I28" s="33" t="inlineStr">
        <is>
          <t>AC.L1-3.1.1, AC.L1-3.1.2</t>
        </is>
      </c>
      <c r="J28" s="34" t="inlineStr">
        <is>
          <t>§164.312(a)(1)</t>
        </is>
      </c>
      <c r="K28" s="35" t="inlineStr">
        <is>
          <t>Annex I(1)(d)</t>
        </is>
      </c>
      <c r="L28" s="36" t="inlineStr">
        <is>
          <t>SEC03 · Bedrock Agents role</t>
        </is>
      </c>
      <c r="M28" s="29" t="inlineStr"/>
      <c r="N28" s="30" t="inlineStr"/>
      <c r="O28" s="30" t="inlineStr"/>
    </row>
    <row r="29" ht="42" customHeight="1">
      <c r="A29" s="44" t="inlineStr">
        <is>
          <t>Agentic AI security</t>
        </is>
      </c>
      <c r="B29" s="29" t="inlineStr">
        <is>
          <t>28</t>
        </is>
      </c>
      <c r="C29" s="30" t="inlineStr">
        <is>
          <t>Human-in-the-loop for high-impact actions</t>
        </is>
      </c>
      <c r="D29" s="31" t="inlineStr">
        <is>
          <t>P1</t>
        </is>
      </c>
      <c r="E29" s="30" t="inlineStr">
        <is>
          <t>Require explicit human approval before an agent performs destructive, financial, or PHI/regulated-data actions; the agent may draft but not execute unilaterally.</t>
        </is>
      </c>
      <c r="F29" s="30" t="inlineStr">
        <is>
          <t>Use Bedrock return-of-control or a Step Functions approval task; define which actions are gated; record approver identity with the action.</t>
        </is>
      </c>
      <c r="G29" s="30" t="inlineStr">
        <is>
          <t>Audit that gated actions never executed without approval; alert on any gated action attempted autonomously.</t>
        </is>
      </c>
      <c r="H29" s="32" t="inlineStr">
        <is>
          <t>CC5.2, CC6.1</t>
        </is>
      </c>
      <c r="I29" s="33" t="inlineStr">
        <is>
          <t>AC.L1-3.1.2</t>
        </is>
      </c>
      <c r="J29" s="34" t="inlineStr">
        <is>
          <t>§164.312(a)(1)</t>
        </is>
      </c>
      <c r="K29" s="35" t="inlineStr">
        <is>
          <t>Annex I(1)(d)</t>
        </is>
      </c>
      <c r="L29" s="36" t="inlineStr">
        <is>
          <t>Bedrock return-of-control · Step Functions</t>
        </is>
      </c>
      <c r="M29" s="29" t="inlineStr"/>
      <c r="N29" s="30" t="inlineStr"/>
      <c r="O29" s="30" t="inlineStr"/>
    </row>
    <row r="30" ht="54" customHeight="1">
      <c r="A30" s="44" t="inlineStr">
        <is>
          <t>Agentic AI security</t>
        </is>
      </c>
      <c r="B30" s="29" t="inlineStr">
        <is>
          <t>29</t>
        </is>
      </c>
      <c r="C30" s="30" t="inlineStr">
        <is>
          <t>Guardrails — prompt-injection &amp; content filtering (Bedrock Guardrails)</t>
        </is>
      </c>
      <c r="D30" s="31" t="inlineStr">
        <is>
          <t>P1</t>
        </is>
      </c>
      <c r="E30" s="30" t="inlineStr">
        <is>
          <t>Apply input and output guardrails: denied topics, PII/PHI redaction, and prompt-attack filters; never let retrieved or tool-returned content issue privileged instructions.</t>
        </is>
      </c>
      <c r="F30" s="30" t="inlineStr">
        <is>
          <t>Attach Bedrock Guardrails to every agent; enable prompt-attack + sensitive-info filters; separate trusted instructions from untrusted data; sanitize tool outputs.</t>
        </is>
      </c>
      <c r="G30" s="30" t="inlineStr">
        <is>
          <t>Guardrail intervention logs; alert on injection-pattern spikes; red-team prompt-injection tests each release.</t>
        </is>
      </c>
      <c r="H30" s="32" t="inlineStr">
        <is>
          <t>CC6.8, PI1.1</t>
        </is>
      </c>
      <c r="I30" s="33" t="inlineStr">
        <is>
          <t>SI.L1-3.14.1</t>
        </is>
      </c>
      <c r="J30" s="34" t="inlineStr">
        <is>
          <t>§164.312(c)(1)</t>
        </is>
      </c>
      <c r="K30" s="35" t="inlineStr">
        <is>
          <t>Annex I(1)(c), Annex I(1)(k)</t>
        </is>
      </c>
      <c r="L30" s="36" t="inlineStr">
        <is>
          <t>Bedrock Guardrails</t>
        </is>
      </c>
      <c r="M30" s="29" t="inlineStr"/>
      <c r="N30" s="30" t="inlineStr"/>
      <c r="O30" s="30" t="inlineStr"/>
    </row>
    <row r="31" ht="54" customHeight="1">
      <c r="A31" s="44" t="inlineStr">
        <is>
          <t>Agentic AI security</t>
        </is>
      </c>
      <c r="B31" s="29" t="inlineStr">
        <is>
          <t>30</t>
        </is>
      </c>
      <c r="C31" s="30" t="inlineStr">
        <is>
          <t>Tool allow-listing &amp; sandboxed execution</t>
        </is>
      </c>
      <c r="D31" s="31" t="inlineStr">
        <is>
          <t>P1</t>
        </is>
      </c>
      <c r="E31" s="30" t="inlineStr">
        <is>
          <t>Expose only a pre-approved set of tools; run each in an isolated execution context (its own Lambda/role) with rate limits so a compromised tool has a bounded blast radius.</t>
        </is>
      </c>
      <c r="F31" s="30" t="inlineStr">
        <is>
          <t>One Lambda + scoped role per tool; no shell/arbitrary-code tools in prod; per-tool rate + concurrency limits; deny network egress by default.</t>
        </is>
      </c>
      <c r="G31" s="30" t="inlineStr">
        <is>
          <t>CloudTrail per-tool invocation logs; alert on undefined-tool calls, egress attempts, or rate-limit breaches.</t>
        </is>
      </c>
      <c r="H31" s="32" t="inlineStr">
        <is>
          <t>CC6.8</t>
        </is>
      </c>
      <c r="I31" s="33" t="inlineStr">
        <is>
          <t>AC.L1-3.1.2</t>
        </is>
      </c>
      <c r="J31" s="34" t="inlineStr">
        <is>
          <t>§164.312(a)(1)</t>
        </is>
      </c>
      <c r="K31" s="35" t="inlineStr">
        <is>
          <t>Annex I(1)(k)</t>
        </is>
      </c>
      <c r="L31" s="36" t="inlineStr">
        <is>
          <t>Lambda-per-tool · scoped roles</t>
        </is>
      </c>
      <c r="M31" s="29" t="inlineStr"/>
      <c r="N31" s="30" t="inlineStr"/>
      <c r="O31" s="30" t="inlineStr"/>
    </row>
    <row r="32" ht="54" customHeight="1">
      <c r="A32" s="44" t="inlineStr">
        <is>
          <t>Agentic AI security</t>
        </is>
      </c>
      <c r="B32" s="29" t="inlineStr">
        <is>
          <t>31</t>
        </is>
      </c>
      <c r="C32" s="30" t="inlineStr">
        <is>
          <t>Agent memory &amp; RAG data isolation</t>
        </is>
      </c>
      <c r="D32" s="31" t="inlineStr">
        <is>
          <t>P1</t>
        </is>
      </c>
      <c r="E32" s="30" t="inlineStr">
        <is>
          <t>Isolate vector stores, knowledge bases, and conversational memory by tenant and data classification; enforce minimum-necessary retrieval so PHI/CUI never crosses a boundary.</t>
        </is>
      </c>
      <c r="F32" s="30" t="inlineStr">
        <is>
          <t>Separate knowledge bases/indexes per tenant; KMS per boundary; filter retrieval by identity/classification; scrub memory of secrets and PHI.</t>
        </is>
      </c>
      <c r="G32" s="30" t="inlineStr">
        <is>
          <t>Retrieval-scope audits; alert on cross-tenant or cross-classification retrieval; periodic memory-content review.</t>
        </is>
      </c>
      <c r="H32" s="32" t="inlineStr">
        <is>
          <t>CC6.1, C1.1</t>
        </is>
      </c>
      <c r="I32" s="33" t="inlineStr">
        <is>
          <t>AC.L1-3.1.22</t>
        </is>
      </c>
      <c r="J32" s="34" t="inlineStr">
        <is>
          <t>§164.502(b), §164.514</t>
        </is>
      </c>
      <c r="K32" s="35" t="inlineStr">
        <is>
          <t>Annex I(1)(f)</t>
        </is>
      </c>
      <c r="L32" s="36" t="inlineStr">
        <is>
          <t>KB per tenant · KMS</t>
        </is>
      </c>
      <c r="M32" s="29" t="inlineStr"/>
      <c r="N32" s="30" t="inlineStr"/>
      <c r="O32" s="30" t="inlineStr"/>
    </row>
    <row r="33" ht="54" customHeight="1">
      <c r="A33" s="44" t="inlineStr">
        <is>
          <t>Agentic AI security</t>
        </is>
      </c>
      <c r="B33" s="29" t="inlineStr">
        <is>
          <t>32</t>
        </is>
      </c>
      <c r="C33" s="30" t="inlineStr">
        <is>
          <t>Full agent audit trail (invocation &amp; decision logging)</t>
        </is>
      </c>
      <c r="D33" s="31" t="inlineStr">
        <is>
          <t>P1</t>
        </is>
      </c>
      <c r="E33" s="30" t="inlineStr">
        <is>
          <t>Log the complete agent trace — input, model, retrieved context, tool calls, and output — with correlation IDs to an immutable store for investigation and assessor evidence.</t>
        </is>
      </c>
      <c r="F33" s="30" t="inlineStr">
        <is>
          <t>Enable Bedrock model-invocation logging to S3/CloudWatch; capture agent traces; correlate with CloudTrail; retain immutably.</t>
        </is>
      </c>
      <c r="G33" s="30" t="inlineStr">
        <is>
          <t>Trace-completeness checks; alert on logging gaps; queryable trail for incident reconstruction.</t>
        </is>
      </c>
      <c r="H33" s="32" t="inlineStr">
        <is>
          <t>CC7.2</t>
        </is>
      </c>
      <c r="I33" s="33" t="inlineStr">
        <is>
          <t>SI.L1-3.14.1</t>
        </is>
      </c>
      <c r="J33" s="34" t="inlineStr">
        <is>
          <t>§164.312(b)</t>
        </is>
      </c>
      <c r="K33" s="35" t="inlineStr">
        <is>
          <t>Annex I(2)</t>
        </is>
      </c>
      <c r="L33" s="36" t="inlineStr">
        <is>
          <t>Bedrock invocation logging · CloudTrail</t>
        </is>
      </c>
      <c r="M33" s="29" t="inlineStr"/>
      <c r="N33" s="30" t="inlineStr"/>
      <c r="O33" s="30" t="inlineStr"/>
    </row>
    <row r="34" ht="42" customHeight="1">
      <c r="A34" s="44" t="inlineStr">
        <is>
          <t>Agentic AI security</t>
        </is>
      </c>
      <c r="B34" s="29" t="inlineStr">
        <is>
          <t>33</t>
        </is>
      </c>
      <c r="C34" s="30" t="inlineStr">
        <is>
          <t>Secrets &amp; credential hygiene for agents</t>
        </is>
      </c>
      <c r="D34" s="31" t="inlineStr">
        <is>
          <t>P1</t>
        </is>
      </c>
      <c r="E34" s="30" t="inlineStr">
        <is>
          <t>Agents obtain credentials at runtime via their role and Secrets Manager; secrets are never placed in prompts, system messages, memory, or logs.</t>
        </is>
      </c>
      <c r="F34" s="30" t="inlineStr">
        <is>
          <t>Runtime secret fetch via role; short-lived STS for tool actions; redact secrets from traces; scan prompts/logs for credential patterns.</t>
        </is>
      </c>
      <c r="G34" s="30" t="inlineStr">
        <is>
          <t>Secret-in-prompt/log scanning; alert on credential material in agent I/O; rotation compliance.</t>
        </is>
      </c>
      <c r="H34" s="32" t="inlineStr">
        <is>
          <t>CC6.1</t>
        </is>
      </c>
      <c r="I34" s="33" t="inlineStr">
        <is>
          <t>IA.L1-3.5.2</t>
        </is>
      </c>
      <c r="J34" s="34" t="inlineStr">
        <is>
          <t>§164.312(a)(2)(iv)</t>
        </is>
      </c>
      <c r="K34" s="35" t="inlineStr">
        <is>
          <t>Annex I(1)(j)</t>
        </is>
      </c>
      <c r="L34" s="36" t="inlineStr">
        <is>
          <t>Secrets Manager · STS</t>
        </is>
      </c>
      <c r="M34" s="29" t="inlineStr"/>
      <c r="N34" s="30" t="inlineStr"/>
      <c r="O34" s="30" t="inlineStr"/>
    </row>
    <row r="35" ht="54" customHeight="1">
      <c r="A35" s="44" t="inlineStr">
        <is>
          <t>Agentic AI security</t>
        </is>
      </c>
      <c r="B35" s="29" t="inlineStr">
        <is>
          <t>34</t>
        </is>
      </c>
      <c r="C35" s="30" t="inlineStr">
        <is>
          <t>Output validation &amp; egress / DLP control</t>
        </is>
      </c>
      <c r="D35" s="31" t="inlineStr">
        <is>
          <t>P1</t>
        </is>
      </c>
      <c r="E35" s="30" t="inlineStr">
        <is>
          <t>Validate and structure agent outputs against a schema; apply DLP/redaction to anything leaving the trust boundary; restrict agent network egress to an approved allow-list.</t>
        </is>
      </c>
      <c r="F35" s="30" t="inlineStr">
        <is>
          <t>Guardrail output filters + schema validation; egress allow-list via endpoints/proxy; Macie/DLP on outbound data; block unknown destinations.</t>
        </is>
      </c>
      <c r="G35" s="30" t="inlineStr">
        <is>
          <t>Egress-deny logs; DLP hits on agent outputs; alert on attempted exfiltration or schema-invalid outputs.</t>
        </is>
      </c>
      <c r="H35" s="32" t="inlineStr">
        <is>
          <t>CC6.7, PI1.1</t>
        </is>
      </c>
      <c r="I35" s="33" t="inlineStr">
        <is>
          <t>AC.L1-3.1.20, AC.L1-3.1.22</t>
        </is>
      </c>
      <c r="J35" s="34" t="inlineStr">
        <is>
          <t>§164.312(e)(1)</t>
        </is>
      </c>
      <c r="K35" s="35" t="inlineStr">
        <is>
          <t>Annex I(1)(e)</t>
        </is>
      </c>
      <c r="L35" s="36" t="inlineStr">
        <is>
          <t>Guardrails output · egress controls · Macie</t>
        </is>
      </c>
      <c r="M35" s="29" t="inlineStr"/>
      <c r="N35" s="30" t="inlineStr"/>
      <c r="O35" s="30" t="inlineStr"/>
    </row>
    <row r="36" ht="42" customHeight="1">
      <c r="A36" s="44" t="inlineStr">
        <is>
          <t>Agentic AI security</t>
        </is>
      </c>
      <c r="B36" s="29" t="inlineStr">
        <is>
          <t>35</t>
        </is>
      </c>
      <c r="C36" s="30" t="inlineStr">
        <is>
          <t>Model governance &amp; data residency</t>
        </is>
      </c>
      <c r="D36" s="38" t="inlineStr">
        <is>
          <t>P2</t>
        </is>
      </c>
      <c r="E36" s="30" t="inlineStr">
        <is>
          <t>Restrict which foundation models agents may call; pin inference to approved regions; confirm no-retention / no-training terms; require a BAA where PHI is processed.</t>
        </is>
      </c>
      <c r="F36" s="30" t="inlineStr">
        <is>
          <t>Bedrock model-access allow-list; region-restriction SCP; document data-handling terms; ensure an AWS BAA covers in-scope services for PHI.</t>
        </is>
      </c>
      <c r="G36" s="30" t="inlineStr">
        <is>
          <t>Model-invocation inventory by model/region; alert on unapproved model or region use.</t>
        </is>
      </c>
      <c r="H36" s="32" t="inlineStr">
        <is>
          <t>CC1.4, C1.1</t>
        </is>
      </c>
      <c r="I36" s="33" t="inlineStr">
        <is>
          <t>AC.L1-3.1.22</t>
        </is>
      </c>
      <c r="J36" s="34" t="inlineStr">
        <is>
          <t>§164.502, §164.308(a)(1)</t>
        </is>
      </c>
      <c r="K36" s="35" t="inlineStr">
        <is>
          <t>Annex I(1)(f)</t>
        </is>
      </c>
      <c r="L36" s="36" t="inlineStr">
        <is>
          <t>Bedrock region + model access</t>
        </is>
      </c>
      <c r="M36" s="29" t="inlineStr"/>
      <c r="N36" s="30" t="inlineStr"/>
      <c r="O36" s="30" t="inlineStr"/>
    </row>
    <row r="37" ht="42" customHeight="1">
      <c r="A37" s="44" t="inlineStr">
        <is>
          <t>Agentic AI security</t>
        </is>
      </c>
      <c r="B37" s="29" t="inlineStr">
        <is>
          <t>36</t>
        </is>
      </c>
      <c r="C37" s="30" t="inlineStr">
        <is>
          <t>Agent tool supply chain (MCP servers / plugins)</t>
        </is>
      </c>
      <c r="D37" s="38" t="inlineStr">
        <is>
          <t>P2</t>
        </is>
      </c>
      <c r="E37" s="30" t="inlineStr">
        <is>
          <t>Review and pin the code behind every tool and MCP server; maintain an SBOM; treat third-party tools/plugins as untrusted supply chain until vetted.</t>
        </is>
      </c>
      <c r="F37" s="30" t="inlineStr">
        <is>
          <t>Pin tool + MCP-server versions/digests; scan and sign tool code; generate SBOMs; isolate third-party MCP servers; no dynamic tool loading in prod.</t>
        </is>
      </c>
      <c r="G37" s="30" t="inlineStr">
        <is>
          <t>SBOM + dependency-scan findings; alert on unpinned or unsigned tool changes; MCP-server allow-list drift.</t>
        </is>
      </c>
      <c r="H37" s="32" t="inlineStr">
        <is>
          <t>CC6.8, CC8.1</t>
        </is>
      </c>
      <c r="I37" s="33" t="inlineStr">
        <is>
          <t>SI.L1-3.14.1</t>
        </is>
      </c>
      <c r="J37" s="34" t="inlineStr">
        <is>
          <t>§164.308(a)(1)</t>
        </is>
      </c>
      <c r="K37" s="35" t="inlineStr">
        <is>
          <t>Annex I(2)(1)</t>
        </is>
      </c>
      <c r="L37" s="36" t="inlineStr">
        <is>
          <t>signed/pinned tool code</t>
        </is>
      </c>
      <c r="M37" s="29" t="inlineStr"/>
      <c r="N37" s="30" t="inlineStr"/>
      <c r="O37" s="30" t="inlineStr"/>
    </row>
    <row r="38" ht="42" customHeight="1">
      <c r="A38" s="44" t="inlineStr">
        <is>
          <t>Agentic AI security</t>
        </is>
      </c>
      <c r="B38" s="29" t="inlineStr">
        <is>
          <t>37</t>
        </is>
      </c>
      <c r="C38" s="30" t="inlineStr">
        <is>
          <t>Rate, cost &amp; abuse guardrails</t>
        </is>
      </c>
      <c r="D38" s="38" t="inlineStr">
        <is>
          <t>P2</t>
        </is>
      </c>
      <c r="E38" s="30" t="inlineStr">
        <is>
          <t>Cap invocation rate, token spend, and tool-call depth per agent/tenant to contain runaway loops, denial-of-wallet, and abuse.</t>
        </is>
      </c>
      <c r="F38" s="30" t="inlineStr">
        <is>
          <t>Bedrock/service quotas + throttling; per-tenant budgets and alarms; max tool-call depth and loop limits in the orchestration layer.</t>
        </is>
      </c>
      <c r="G38" s="30" t="inlineStr">
        <is>
          <t>Spend + invocation-rate dashboards; alert on budget/quota breaches and abnormal loop depth.</t>
        </is>
      </c>
      <c r="H38" s="32" t="inlineStr">
        <is>
          <t>A1.1</t>
        </is>
      </c>
      <c r="I38" s="33" t="inlineStr">
        <is>
          <t>SC.L1-3.13.1</t>
        </is>
      </c>
      <c r="J38" s="34" t="inlineStr">
        <is>
          <t>§164.308(a)(1)</t>
        </is>
      </c>
      <c r="K38" s="35" t="inlineStr">
        <is>
          <t>Annex I(1)(h)</t>
        </is>
      </c>
      <c r="L38" s="36" t="inlineStr">
        <is>
          <t>Bedrock quotas · Budgets</t>
        </is>
      </c>
      <c r="M38" s="29" t="inlineStr"/>
      <c r="N38" s="30" t="inlineStr"/>
      <c r="O38" s="30" t="inlineStr"/>
    </row>
    <row r="39" ht="42" customHeight="1">
      <c r="A39" s="45" t="inlineStr">
        <is>
          <t>Incident response &amp; resilience</t>
        </is>
      </c>
      <c r="B39" s="29" t="inlineStr">
        <is>
          <t>38</t>
        </is>
      </c>
      <c r="C39" s="30" t="inlineStr">
        <is>
          <t>IR runbooks &amp; automated response</t>
        </is>
      </c>
      <c r="D39" s="31" t="inlineStr">
        <is>
          <t>P1</t>
        </is>
      </c>
      <c r="E39" s="30" t="inlineStr">
        <is>
          <t>Maintain incident runbooks and automate first response: Security Hub / GuardDuty findings trigger EventBridge → Lambda/SSM to isolate, snapshot, and notify.</t>
        </is>
      </c>
      <c r="F39" s="30" t="inlineStr">
        <is>
          <t>Codify playbooks (credential compromise, public exposure, agent misuse); auto-isolation actions; tabletop exercises; break-glass procedures.</t>
        </is>
      </c>
      <c r="G39" s="30" t="inlineStr">
        <is>
          <t>MTTR/MTTD metrics; auto-response success rate; post-incident reviews; scheduled tabletops.</t>
        </is>
      </c>
      <c r="H39" s="32" t="inlineStr">
        <is>
          <t>CC7.3, CC7.4</t>
        </is>
      </c>
      <c r="I39" s="33" t="inlineStr">
        <is>
          <t>SI.L1-3.14.1</t>
        </is>
      </c>
      <c r="J39" s="34" t="inlineStr">
        <is>
          <t>§164.308(a)(6)</t>
        </is>
      </c>
      <c r="K39" s="35" t="inlineStr">
        <is>
          <t>Annex I(2)</t>
        </is>
      </c>
      <c r="L39" s="36" t="inlineStr">
        <is>
          <t>SEC10</t>
        </is>
      </c>
      <c r="M39" s="29" t="inlineStr"/>
      <c r="N39" s="30" t="inlineStr"/>
      <c r="O39" s="30" t="inlineStr"/>
    </row>
    <row r="40" ht="54" customHeight="1">
      <c r="A40" s="45" t="inlineStr">
        <is>
          <t>Incident response &amp; resilience</t>
        </is>
      </c>
      <c r="B40" s="29" t="inlineStr">
        <is>
          <t>39</t>
        </is>
      </c>
      <c r="C40" s="30" t="inlineStr">
        <is>
          <t>Backup, immutability &amp; disaster recovery (AWS Backup · S3 Object Lock)</t>
        </is>
      </c>
      <c r="D40" s="31" t="inlineStr">
        <is>
          <t>P1</t>
        </is>
      </c>
      <c r="E40" s="30" t="inlineStr">
        <is>
          <t>Centralize backups with AWS Backup; make critical backups immutable (Object Lock / vault lock); replicate cross-region; test restores against RTO/RPO. (Contingency depth exceeds CMMC L1.)</t>
        </is>
      </c>
      <c r="F40" s="30" t="inlineStr">
        <is>
          <t>AWS Backup plans by data-class; Object Lock / Backup Vault Lock; cross-region/-account copies; documented DR + regular restore tests.</t>
        </is>
      </c>
      <c r="G40" s="30" t="inlineStr">
        <is>
          <t>Backup success/coverage; immutability config checks; restore-test results vs RTO/RPO.</t>
        </is>
      </c>
      <c r="H40" s="32" t="inlineStr">
        <is>
          <t>A1.2, A1.3</t>
        </is>
      </c>
      <c r="I40" s="40" t="inlineStr">
        <is>
          <t>Exceeds L1 (basic safeguarding)</t>
        </is>
      </c>
      <c r="J40" s="34" t="inlineStr">
        <is>
          <t>§164.308(a)(7), §164.310(d)(2)(iv)</t>
        </is>
      </c>
      <c r="K40" s="35" t="inlineStr">
        <is>
          <t>Annex I(1)(h), Annex I(1)(i)</t>
        </is>
      </c>
      <c r="L40" s="36" t="inlineStr">
        <is>
          <t>SEC · REL</t>
        </is>
      </c>
      <c r="M40" s="29" t="inlineStr"/>
      <c r="N40" s="30" t="inlineStr"/>
      <c r="O40" s="30" t="inlineStr"/>
    </row>
    <row r="41" ht="42" customHeight="1">
      <c r="A41" s="45" t="inlineStr">
        <is>
          <t>Incident response &amp; resilience</t>
        </is>
      </c>
      <c r="B41" s="29" t="inlineStr">
        <is>
          <t>40</t>
        </is>
      </c>
      <c r="C41" s="30" t="inlineStr">
        <is>
          <t>Vulnerability disclosure &amp; coordinated handling</t>
        </is>
      </c>
      <c r="D41" s="38" t="inlineStr">
        <is>
          <t>P2</t>
        </is>
      </c>
      <c r="E41" s="30" t="inlineStr">
        <is>
          <t>Publish a security contact and coordinated vulnerability disclosure process, and handle reports on an SLA. This is an explicit EU CRA obligation (Annex I Part II).</t>
        </is>
      </c>
      <c r="F41" s="30" t="inlineStr">
        <is>
          <t>Set the account security-contact and a public disclosure policy; triage intake; feed fixes into patch management; report per CRA timelines.</t>
        </is>
      </c>
      <c r="G41" s="30" t="inlineStr">
        <is>
          <t>Time-to-acknowledge / time-to-fix vs SLA; open-report aging; disclosure-process test.</t>
        </is>
      </c>
      <c r="H41" s="32" t="inlineStr">
        <is>
          <t>CC2.3</t>
        </is>
      </c>
      <c r="I41" s="33" t="inlineStr">
        <is>
          <t>SI.L1-3.14.1</t>
        </is>
      </c>
      <c r="J41" s="34" t="inlineStr">
        <is>
          <t>§164.308(a)(6)</t>
        </is>
      </c>
      <c r="K41" s="35" t="inlineStr">
        <is>
          <t>Annex I(2)(5)</t>
        </is>
      </c>
      <c r="L41" s="36" t="inlineStr">
        <is>
          <t>Inspector · security contact</t>
        </is>
      </c>
      <c r="M41" s="29" t="inlineStr"/>
      <c r="N41" s="30" t="inlineStr"/>
      <c r="O41" s="30" t="inlineStr"/>
    </row>
  </sheetData>
  <autoFilter ref="A1:O41"/>
  <conditionalFormatting sqref="M2:M41">
    <cfRule type="cellIs" priority="1" operator="equal" dxfId="0">
      <formula>"Implemented"</formula>
    </cfRule>
    <cfRule type="cellIs" priority="2" operator="equal" dxfId="1">
      <formula>"In progress"</formula>
    </cfRule>
    <cfRule type="cellIs" priority="3" operator="equal" dxfId="2">
      <formula>"Not started"</formula>
    </cfRule>
    <cfRule type="cellIs" priority="4" operator="equal" dxfId="3">
      <formula>"N/A"</formula>
    </cfRule>
  </conditionalFormatting>
  <dataValidations count="1">
    <dataValidation sqref="M2:M41" showDropDown="0" showInputMessage="0" showErrorMessage="0" allowBlank="1" type="list">
      <formula1>"Not started,In progress,Implemented,N/A"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2" customWidth="1" min="1" max="1"/>
    <col width="7" customWidth="1" min="2" max="2"/>
    <col width="42" customWidth="1" min="3" max="3"/>
    <col width="40" customWidth="1" min="4" max="4"/>
    <col width="44" customWidth="1" min="5" max="5"/>
    <col width="44" customWidth="1" min="6" max="6"/>
  </cols>
  <sheetData>
    <row r="1" ht="22" customHeight="1">
      <c r="A1" s="7" t="inlineStr">
        <is>
          <t>Domain</t>
        </is>
      </c>
      <c r="B1" s="7" t="inlineStr">
        <is>
          <t>Items</t>
        </is>
      </c>
      <c r="C1" s="7" t="inlineStr">
        <is>
          <t>What's easy</t>
        </is>
      </c>
      <c r="D1" s="7" t="inlineStr">
        <is>
          <t>Tools to use</t>
        </is>
      </c>
      <c r="E1" s="7" t="inlineStr">
        <is>
          <t>What can go wrong</t>
        </is>
      </c>
      <c r="F1" s="7" t="inlineStr">
        <is>
          <t>How to fix</t>
        </is>
      </c>
    </row>
    <row r="2" ht="46" customHeight="1">
      <c r="A2" s="46" t="inlineStr">
        <is>
          <t>Identity &amp; access management</t>
        </is>
      </c>
      <c r="B2" s="29" t="n">
        <v>5</v>
      </c>
      <c r="C2" s="47" t="inlineStr">
        <is>
          <t>Turn on IAM Identity Center, Access Analyzer, and an SCP denying IAM-user creation — same-day, no code.</t>
        </is>
      </c>
      <c r="D2" s="48" t="inlineStr">
        <is>
          <t>IAM Identity Center, IAM Access Analyzer, Organizations SCPs, Credentials Report, AWS Config.</t>
        </is>
      </c>
      <c r="E2" s="49" t="inlineStr">
        <is>
          <t>Long-lived access keys linger in scripts and CI; over-broad wildcard policies; the root account left unmonitored.</t>
        </is>
      </c>
      <c r="F2" s="50" t="inlineStr">
        <is>
          <t>Rotate to STS/OIDC and delete static keys; generate least-privilege policies from CloudTrail; alarm on root and new keys.</t>
        </is>
      </c>
    </row>
    <row r="3" ht="46" customHeight="1">
      <c r="A3" s="51" t="inlineStr">
        <is>
          <t>Network &amp; perimeter</t>
        </is>
      </c>
      <c r="B3" s="29" t="n">
        <v>4</v>
      </c>
      <c r="C3" s="47" t="inlineStr">
        <is>
          <t>Enable account-level S3 Block Public Access and the Config restricted-ports rules; adopt Session Manager to drop SSH.</t>
        </is>
      </c>
      <c r="D3" s="48" t="inlineStr">
        <is>
          <t>VPC, security groups, Network Access Analyzer, VPC endpoints / PrivateLink, WAF, Shield, VPC Flow Logs.</t>
        </is>
      </c>
      <c r="E3" s="49" t="inlineStr">
        <is>
          <t>0.0.0.0/0 open to SSH/RDP/DB ports; data sitting in public subnets; AWS-API calls leaving over the internet.</t>
        </is>
      </c>
      <c r="F3" s="50" t="inlineStr">
        <is>
          <t>Reference security-group-to-security-group, move data to private subnets, add VPC endpoints, and front public apps with WAF.</t>
        </is>
      </c>
    </row>
    <row r="4" ht="46" customHeight="1">
      <c r="A4" s="52" t="inlineStr">
        <is>
          <t>Data protection &amp; encryption</t>
        </is>
      </c>
      <c r="B4" s="29" t="n">
        <v>5</v>
      </c>
      <c r="C4" s="47" t="inlineStr">
        <is>
          <t>Flip on default KMS encryption, S3 Block Public Access, and Macie — mostly one-click.</t>
        </is>
      </c>
      <c r="D4" s="48" t="inlineStr">
        <is>
          <t>KMS, S3 BPA, ACM, Secrets Manager, Macie, AWS Config encryption rules.</t>
        </is>
      </c>
      <c r="E4" s="49" t="inlineStr">
        <is>
          <t>Unencrypted volumes/buckets; secrets in env vars or container images; PHI discovered where it shouldn't be.</t>
        </is>
      </c>
      <c r="F4" s="50" t="inlineStr">
        <is>
          <t>Enforce encryption via SCP/Config, move secrets to Secrets Manager with rotation, and act on Macie findings.</t>
        </is>
      </c>
    </row>
    <row r="5" ht="46" customHeight="1">
      <c r="A5" s="53" t="inlineStr">
        <is>
          <t>Logging, detection &amp; monitoring</t>
        </is>
      </c>
      <c r="B5" s="29" t="n">
        <v>5</v>
      </c>
      <c r="C5" s="47" t="inlineStr">
        <is>
          <t>Turn on an organization CloudTrail, GuardDuty, and Security Hub across all accounts in minutes.</t>
        </is>
      </c>
      <c r="D5" s="48" t="inlineStr">
        <is>
          <t>CloudTrail (+ Lake), GuardDuty, Security Hub, AWS Config, Access Analyzer, CloudWatch / OpenSearch.</t>
        </is>
      </c>
      <c r="E5" s="49" t="inlineStr">
        <is>
          <t>Trails that aren't centralized or are deletable; GuardDuty missing regions or accounts; findings nobody watches.</t>
        </is>
      </c>
      <c r="F5" s="50" t="inlineStr">
        <is>
          <t>Central immutable log-archive account with Object Lock; auto-enable for new accounts; route findings to automated response.</t>
        </is>
      </c>
    </row>
    <row r="6" ht="46" customHeight="1">
      <c r="A6" s="54" t="inlineStr">
        <is>
          <t>Compute &amp; workload security</t>
        </is>
      </c>
      <c r="B6" s="29" t="n">
        <v>4</v>
      </c>
      <c r="C6" s="47" t="inlineStr">
        <is>
          <t>Enable Amazon Inspector org-wide and let it scan EC2, containers, and Lambda automatically.</t>
        </is>
      </c>
      <c r="D6" s="48" t="inlineStr">
        <is>
          <t>Amazon Inspector, SSM Patch Manager, ECR image scanning, GuardDuty Malware Protection, admission control.</t>
        </is>
      </c>
      <c r="E6" s="49" t="inlineStr">
        <is>
          <t>Critical vulns sitting past SLA; unsigned or unscanned container images; drifted manual console changes.</t>
        </is>
      </c>
      <c r="F6" s="50" t="inlineStr">
        <is>
          <t>Patch baselines + maintenance windows; sign and scan images with admission control; deploy only through IaC.</t>
        </is>
      </c>
    </row>
    <row r="7" ht="46" customHeight="1">
      <c r="A7" s="55" t="inlineStr">
        <is>
          <t>Governance, posture &amp; compliance</t>
        </is>
      </c>
      <c r="B7" s="29" t="n">
        <v>3</v>
      </c>
      <c r="C7" s="47" t="inlineStr">
        <is>
          <t>Deploy a Control Tower landing zone and a handful of preventive SCPs.</t>
        </is>
      </c>
      <c r="D7" s="48" t="inlineStr">
        <is>
          <t>AWS Organizations, Control Tower, SCPs, Config conformance packs, Audit Manager, tag policies.</t>
        </is>
      </c>
      <c r="E7" s="49" t="inlineStr">
        <is>
          <t>Detective-only controls people can bypass; missing region/tag guardrails; audit evidence gathered by hand at the last minute.</t>
        </is>
      </c>
      <c r="F7" s="50" t="inlineStr">
        <is>
          <t>Make hard limits preventive SCPs; enforce region and tag policies; automate evidence collection with Audit Manager.</t>
        </is>
      </c>
    </row>
    <row r="8" ht="54" customHeight="1">
      <c r="A8" s="56" t="inlineStr">
        <is>
          <t>Agentic AI security</t>
        </is>
      </c>
      <c r="B8" s="29" t="n">
        <v>11</v>
      </c>
      <c r="C8" s="47" t="inlineStr">
        <is>
          <t>Attach a Bedrock Guardrail and give each agent its own dedicated, scoped execution role.</t>
        </is>
      </c>
      <c r="D8" s="48" t="inlineStr">
        <is>
          <t>Bedrock Agents + Guardrails, per-tool Lambdas, Step Functions (human-in-the-loop), Secrets Manager, model-invocation logging, Macie.</t>
        </is>
      </c>
      <c r="E8" s="49" t="inlineStr">
        <is>
          <t>Prompt injection via tool/RAG content; over-privileged agent roles; PHI leaking across tenants; secrets in prompts; runaway agent loops.</t>
        </is>
      </c>
      <c r="F8" s="50" t="inlineStr">
        <is>
          <t>Treat all content as untrusted behind guardrails; least-privilege per-agent roles; per-tenant knowledge bases; runtime secrets; rate/depth limits and full trace logging.</t>
        </is>
      </c>
    </row>
    <row r="9" ht="46" customHeight="1">
      <c r="A9" s="57" t="inlineStr">
        <is>
          <t>Incident response &amp; resilience</t>
        </is>
      </c>
      <c r="B9" s="29" t="n">
        <v>3</v>
      </c>
      <c r="C9" s="47" t="inlineStr">
        <is>
          <t>Wire GuardDuty / Security Hub findings to EventBridge and turn on AWS Backup with Object Lock.</t>
        </is>
      </c>
      <c r="D9" s="48" t="inlineStr">
        <is>
          <t>EventBridge, Lambda / SSM automation, AWS Backup, S3 / Vault Object Lock, security contact + disclosure policy.</t>
        </is>
      </c>
      <c r="E9" s="49" t="inlineStr">
        <is>
          <t>No practiced runbooks; backups ransomware can delete; no vulnerability-disclosure intake (a direct EU CRA gap).</t>
        </is>
      </c>
      <c r="F9" s="50" t="inlineStr">
        <is>
          <t>Codify and tabletop playbooks; make backups immutable and cross-region; publish a coordinated-disclosure process with an SLA.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22" customWidth="1" min="1" max="1"/>
    <col width="18" customWidth="1" min="2" max="2"/>
    <col width="16" customWidth="1" min="3" max="3"/>
    <col width="22" customWidth="1" min="4" max="4"/>
    <col width="16" customWidth="1" min="5" max="5"/>
    <col width="14" customWidth="1" min="6" max="6"/>
  </cols>
  <sheetData>
    <row r="1">
      <c r="A1" s="7" t="inlineStr">
        <is>
          <t>Theme</t>
        </is>
      </c>
      <c r="B1" s="23" t="inlineStr">
        <is>
          <t>SOC 2 Type II</t>
        </is>
      </c>
      <c r="C1" s="24" t="inlineStr">
        <is>
          <t>CMMC L1</t>
        </is>
      </c>
      <c r="D1" s="25" t="inlineStr">
        <is>
          <t>HIPAA</t>
        </is>
      </c>
      <c r="E1" s="26" t="inlineStr">
        <is>
          <t>EU CRA</t>
        </is>
      </c>
      <c r="F1" s="27" t="inlineStr">
        <is>
          <t>AWS</t>
        </is>
      </c>
    </row>
    <row r="2" ht="26" customHeight="1">
      <c r="A2" s="58" t="inlineStr">
        <is>
          <t>Access control</t>
        </is>
      </c>
      <c r="B2" s="59" t="inlineStr">
        <is>
          <t>CC6.1–6.3</t>
        </is>
      </c>
      <c r="C2" s="60" t="inlineStr">
        <is>
          <t>AC.L1-3.1.1/.2</t>
        </is>
      </c>
      <c r="D2" s="61" t="inlineStr">
        <is>
          <t>§164.312(a)</t>
        </is>
      </c>
      <c r="E2" s="62" t="inlineStr">
        <is>
          <t>Annex I(1)(d)</t>
        </is>
      </c>
      <c r="F2" s="63" t="inlineStr">
        <is>
          <t>SEC02/03</t>
        </is>
      </c>
    </row>
    <row r="3" ht="26" customHeight="1">
      <c r="A3" s="58" t="inlineStr">
        <is>
          <t>Boundary &amp; network</t>
        </is>
      </c>
      <c r="B3" s="59" t="inlineStr">
        <is>
          <t>CC6.6</t>
        </is>
      </c>
      <c r="C3" s="60" t="inlineStr">
        <is>
          <t>SC.L1-3.13.1/.5</t>
        </is>
      </c>
      <c r="D3" s="61" t="inlineStr">
        <is>
          <t>§164.312(e)(1)</t>
        </is>
      </c>
      <c r="E3" s="62" t="inlineStr">
        <is>
          <t>Annex I(1)(k)</t>
        </is>
      </c>
      <c r="F3" s="63" t="inlineStr">
        <is>
          <t>SEC05</t>
        </is>
      </c>
    </row>
    <row r="4" ht="26" customHeight="1">
      <c r="A4" s="58" t="inlineStr">
        <is>
          <t>Encryption</t>
        </is>
      </c>
      <c r="B4" s="59" t="inlineStr">
        <is>
          <t>CC6.1/6.7 · C1.1</t>
        </is>
      </c>
      <c r="C4" s="60" t="inlineStr">
        <is>
          <t>Exceeds L1</t>
        </is>
      </c>
      <c r="D4" s="61" t="inlineStr">
        <is>
          <t>§164.312(a)(2)(iv),(e)</t>
        </is>
      </c>
      <c r="E4" s="62" t="inlineStr">
        <is>
          <t>Annex I(1)(e)</t>
        </is>
      </c>
      <c r="F4" s="63" t="inlineStr">
        <is>
          <t>SEC08/09</t>
        </is>
      </c>
    </row>
    <row r="5" ht="26" customHeight="1">
      <c r="A5" s="58" t="inlineStr">
        <is>
          <t>Logging &amp; monitoring</t>
        </is>
      </c>
      <c r="B5" s="59" t="inlineStr">
        <is>
          <t>CC7.2/7.3</t>
        </is>
      </c>
      <c r="C5" s="60" t="inlineStr">
        <is>
          <t>SI.L1-3.14.1*</t>
        </is>
      </c>
      <c r="D5" s="61" t="inlineStr">
        <is>
          <t>§164.312(b)</t>
        </is>
      </c>
      <c r="E5" s="62" t="inlineStr">
        <is>
          <t>Annex I(2)</t>
        </is>
      </c>
      <c r="F5" s="63" t="inlineStr">
        <is>
          <t>SEC04</t>
        </is>
      </c>
    </row>
    <row r="6" ht="26" customHeight="1">
      <c r="A6" s="58" t="inlineStr">
        <is>
          <t>Vulnerability mgmt</t>
        </is>
      </c>
      <c r="B6" s="59" t="inlineStr">
        <is>
          <t>CC7.1</t>
        </is>
      </c>
      <c r="C6" s="60" t="inlineStr">
        <is>
          <t>SI.L1-3.14.1/.2</t>
        </is>
      </c>
      <c r="D6" s="61" t="inlineStr">
        <is>
          <t>§164.308(a)(1)(ii)(B)</t>
        </is>
      </c>
      <c r="E6" s="62" t="inlineStr">
        <is>
          <t>Annex I(2)(1)</t>
        </is>
      </c>
      <c r="F6" s="63" t="inlineStr">
        <is>
          <t>SEC06</t>
        </is>
      </c>
    </row>
    <row r="7" ht="26" customHeight="1">
      <c r="A7" s="58" t="inlineStr">
        <is>
          <t>Incident response</t>
        </is>
      </c>
      <c r="B7" s="59" t="inlineStr">
        <is>
          <t>CC7.3–7.5</t>
        </is>
      </c>
      <c r="C7" s="60" t="inlineStr">
        <is>
          <t>SI.L1-3.14.1</t>
        </is>
      </c>
      <c r="D7" s="61" t="inlineStr">
        <is>
          <t>§164.308(a)(6)</t>
        </is>
      </c>
      <c r="E7" s="62" t="inlineStr">
        <is>
          <t>Annex I(2)(5)</t>
        </is>
      </c>
      <c r="F7" s="63" t="inlineStr">
        <is>
          <t>SEC10</t>
        </is>
      </c>
    </row>
    <row r="8" ht="26" customHeight="1">
      <c r="A8" s="58" t="inlineStr">
        <is>
          <t>Data minimization / privacy</t>
        </is>
      </c>
      <c r="B8" s="59" t="inlineStr">
        <is>
          <t>C1.1 · Privacy</t>
        </is>
      </c>
      <c r="C8" s="60" t="inlineStr">
        <is>
          <t>AC.L1-3.1.22</t>
        </is>
      </c>
      <c r="D8" s="61" t="inlineStr">
        <is>
          <t>§164.502(b) · .514</t>
        </is>
      </c>
      <c r="E8" s="62" t="inlineStr">
        <is>
          <t>Annex I(1)(f)</t>
        </is>
      </c>
      <c r="F8" s="63" t="inlineStr">
        <is>
          <t>SEC07</t>
        </is>
      </c>
    </row>
    <row r="9" ht="26" customHeight="1">
      <c r="A9" s="58" t="inlineStr">
        <is>
          <t>Resilience / availability</t>
        </is>
      </c>
      <c r="B9" s="59" t="inlineStr">
        <is>
          <t>A1.1–1.3</t>
        </is>
      </c>
      <c r="C9" s="60" t="inlineStr">
        <is>
          <t>Exceeds L1</t>
        </is>
      </c>
      <c r="D9" s="61" t="inlineStr">
        <is>
          <t>§164.308(a)(7)</t>
        </is>
      </c>
      <c r="E9" s="62" t="inlineStr">
        <is>
          <t>Annex I(1)(h),(i)</t>
        </is>
      </c>
      <c r="F9" s="63" t="inlineStr">
        <is>
          <t>REL / SEC</t>
        </is>
      </c>
    </row>
    <row r="11">
      <c r="A11" s="22" t="inlineStr">
        <is>
          <t>The five frameworks converge on the same primitives — identity, encryption, logging, vulnerability management, incident response, data minimization — so building to AWS best practices satisfies most of each at once. CMMC L1 is the lightest (17-practice floor for FCI; physical safeguards inherited from AWS). HIPAA adds privacy + BAA; EU CRA adds product vuln-handling, SBOM and coordinated disclosure; SOC 2 Type II adds operating-effectiveness over time.</t>
        </is>
      </c>
    </row>
    <row r="12"/>
    <row r="13"/>
    <row r="14"/>
  </sheetData>
  <mergeCells count="1">
    <mergeCell ref="A11:F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34" customWidth="1" min="1" max="1"/>
    <col width="30" customWidth="1" min="2" max="2"/>
    <col width="50" customWidth="1" min="3" max="3"/>
  </cols>
  <sheetData>
    <row r="1">
      <c r="A1" s="7" t="inlineStr">
        <is>
          <t>Trust-zone condition</t>
        </is>
      </c>
      <c r="B1" s="7" t="inlineStr">
        <is>
          <t>Threat (STRIDE)</t>
        </is>
      </c>
      <c r="C1" s="7" t="inlineStr">
        <is>
          <t>NIST SP 800-53 mitigation</t>
        </is>
      </c>
    </row>
    <row r="2" ht="34" customHeight="1">
      <c r="A2" s="30" t="inlineStr">
        <is>
          <t>Data flow not encrypted in transit (protocol without TLS/HTTPS/mTLS)</t>
        </is>
      </c>
      <c r="B2" s="64" t="inlineStr">
        <is>
          <t>Information disclosure / Tampering (MITM)</t>
        </is>
      </c>
      <c r="C2" s="65" t="inlineStr">
        <is>
          <t>SC-8 Transmission Confidentiality &amp; Integrity; SC-13 Cryptographic Protection</t>
        </is>
      </c>
    </row>
    <row r="3" ht="34" customHeight="1">
      <c r="A3" s="30" t="inlineStr">
        <is>
          <t>Data flow crosses a trust boundary (different-trust zones)</t>
        </is>
      </c>
      <c r="B3" s="64" t="inlineStr">
        <is>
          <t>Spoofing / Tampering</t>
        </is>
      </c>
      <c r="C3" s="65" t="inlineStr">
        <is>
          <t>SC-7 Boundary Protection; AC-4 Information Flow Enforcement; IA-2 Identification &amp; Authentication</t>
        </is>
      </c>
    </row>
    <row r="4" ht="34" customHeight="1">
      <c r="A4" s="30" t="inlineStr">
        <is>
          <t>Weak key / secret storage (env var, file, hardcoded)</t>
        </is>
      </c>
      <c r="B4" s="64" t="inlineStr">
        <is>
          <t>Elevation of privilege (credential compromise)</t>
        </is>
      </c>
      <c r="C4" s="65" t="inlineStr">
        <is>
          <t>SC-12 Cryptographic Key Establishment &amp; Management; IA-5 Authenticator Management</t>
        </is>
      </c>
    </row>
    <row r="5" ht="34" customHeight="1">
      <c r="A5" s="30" t="inlineStr">
        <is>
          <t>Sensitive data (PII/PHI/FCI/CUI) unencrypted at rest</t>
        </is>
      </c>
      <c r="B5" s="64" t="inlineStr">
        <is>
          <t>Information disclosure</t>
        </is>
      </c>
      <c r="C5" s="65" t="inlineStr">
        <is>
          <t>SC-28 Protection of Information at Rest; SC-13 Cryptographic Protection</t>
        </is>
      </c>
    </row>
    <row r="6" ht="42" customHeight="1">
      <c r="A6" s="30" t="inlineStr">
        <is>
          <t>Sensitive data held in / traversing a low-trust zone</t>
        </is>
      </c>
      <c r="B6" s="64" t="inlineStr">
        <is>
          <t>Information disclosure (excessive exposure)</t>
        </is>
      </c>
      <c r="C6" s="65" t="inlineStr">
        <is>
          <t>SC-7 Boundary Protection; AC-4 Information Flow Enforcement; SC-8 Transmission Confidentiality &amp; Integrity</t>
        </is>
      </c>
    </row>
    <row r="7" ht="34" customHeight="1">
      <c r="A7" s="30" t="inlineStr">
        <is>
          <t>Inbound service without strong authentication</t>
        </is>
      </c>
      <c r="B7" s="64" t="inlineStr">
        <is>
          <t>Spoofing</t>
        </is>
      </c>
      <c r="C7" s="65" t="inlineStr">
        <is>
          <t>IA-2 Identification &amp; Authentication; AC-3 Access Enforcement</t>
        </is>
      </c>
    </row>
    <row r="8" ht="34" customHeight="1">
      <c r="A8" s="30" t="inlineStr">
        <is>
          <t>Component without audit logging of actions</t>
        </is>
      </c>
      <c r="B8" s="64" t="inlineStr">
        <is>
          <t>Repudiation</t>
        </is>
      </c>
      <c r="C8" s="65" t="inlineStr">
        <is>
          <t>AU-2 Event Logging; AU-6 Audit Record Review, Analysis &amp; Reporting</t>
        </is>
      </c>
    </row>
    <row r="10">
      <c r="A10" s="22" t="inlineStr">
        <is>
          <t>The interactive threat modeler in the HTML checklist derives these findings live from the components and data flows you enter (trust zone, data class, protocol, encryption, key storage), drawing the system in trust-zone lanes with threats in red and these NIST 800-53 mitigations in green.</t>
        </is>
      </c>
    </row>
    <row r="11"/>
    <row r="12"/>
  </sheetData>
  <mergeCells count="1">
    <mergeCell ref="A10:C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showGridLines="0" workbookViewId="0">
      <pane ySplit="1" topLeftCell="A2" activePane="bottomLeft" state="frozen"/>
      <selection pane="bottomLeft" activeCell="A1" sqref="A1"/>
    </sheetView>
  </sheetViews>
  <sheetFormatPr baseColWidth="8" defaultRowHeight="15"/>
  <cols>
    <col width="30" customWidth="1" min="1" max="1"/>
    <col width="95" customWidth="1" min="2" max="2"/>
  </cols>
  <sheetData>
    <row r="1">
      <c r="A1" s="7" t="inlineStr">
        <is>
          <t>Term</t>
        </is>
      </c>
      <c r="B1" s="7" t="inlineStr">
        <is>
          <t>Definition</t>
        </is>
      </c>
    </row>
    <row r="2" ht="28" customHeight="1">
      <c r="A2" s="66" t="inlineStr">
        <is>
          <t>Agentic AI</t>
        </is>
      </c>
      <c r="B2" s="30" t="inlineStr">
        <is>
          <t>AI systems where a model plans and takes actions through tools/APIs — not just answering, but doing. Security must constrain what the agent can do and prove what it did.</t>
        </is>
      </c>
    </row>
    <row r="3" ht="28" customHeight="1">
      <c r="A3" s="66" t="inlineStr">
        <is>
          <t>Amazon Bedrock</t>
        </is>
      </c>
      <c r="B3" s="30" t="inlineStr">
        <is>
          <t>AWS managed service for foundation models and agents; provides model access, Agents, Knowledge Bases, and Guardrails.</t>
        </is>
      </c>
    </row>
    <row r="4" ht="28" customHeight="1">
      <c r="A4" s="66" t="inlineStr">
        <is>
          <t>Bedrock Guardrails</t>
        </is>
      </c>
      <c r="B4" s="30" t="inlineStr">
        <is>
          <t>Configurable input/output filters for models: denied topics, PII/PHI redaction, and prompt-attack detection.</t>
        </is>
      </c>
    </row>
    <row r="5" ht="28" customHeight="1">
      <c r="A5" s="66" t="inlineStr">
        <is>
          <t>Bedrock Agents</t>
        </is>
      </c>
      <c r="B5" s="30" t="inlineStr">
        <is>
          <t>Managed agents that call tools (“action groups”) and knowledge bases under a scoped execution role.</t>
        </is>
      </c>
    </row>
    <row r="6" ht="28" customHeight="1">
      <c r="A6" s="66" t="inlineStr">
        <is>
          <t>Return of control</t>
        </is>
      </c>
      <c r="B6" s="30" t="inlineStr">
        <is>
          <t>A Bedrock pattern where the agent hands a proposed action back to your application (or a human) instead of executing it directly.</t>
        </is>
      </c>
    </row>
    <row r="7" ht="28" customHeight="1">
      <c r="A7" s="66" t="inlineStr">
        <is>
          <t>Prompt injection</t>
        </is>
      </c>
      <c r="B7" s="30" t="inlineStr">
        <is>
          <t>An attack where untrusted content (a document, tool output, web page) smuggles instructions that hijack the agent. Treat all such content as untrusted.</t>
        </is>
      </c>
    </row>
    <row r="8" ht="28" customHeight="1">
      <c r="A8" s="66" t="inlineStr">
        <is>
          <t>RAG</t>
        </is>
      </c>
      <c r="B8" s="30" t="inlineStr">
        <is>
          <t>Retrieval-Augmented Generation — grounding a model on retrieved documents (a vector store / knowledge base) rather than only its training.</t>
        </is>
      </c>
    </row>
    <row r="9" ht="28" customHeight="1">
      <c r="A9" s="66" t="inlineStr">
        <is>
          <t>MCP</t>
        </is>
      </c>
      <c r="B9" s="30" t="inlineStr">
        <is>
          <t>Model Context Protocol — a standard for connecting agents to external tools/data servers; third-party MCP servers are supply-chain surface to vet.</t>
        </is>
      </c>
    </row>
    <row r="10" ht="28" customHeight="1">
      <c r="A10" s="66" t="inlineStr">
        <is>
          <t>Human-in-the-loop</t>
        </is>
      </c>
      <c r="B10" s="30" t="inlineStr">
        <is>
          <t>A required human approval step before an agent performs a high-impact or regulated action.</t>
        </is>
      </c>
    </row>
    <row r="11" ht="28" customHeight="1">
      <c r="A11" s="66" t="inlineStr">
        <is>
          <t>IAM</t>
        </is>
      </c>
      <c r="B11" s="30" t="inlineStr">
        <is>
          <t>AWS Identity and Access Management — users, roles, and policies that govern who/what can call which AWS APIs.</t>
        </is>
      </c>
    </row>
    <row r="12" ht="28" customHeight="1">
      <c r="A12" s="66" t="inlineStr">
        <is>
          <t>IAM Identity Center</t>
        </is>
      </c>
      <c r="B12" s="30" t="inlineStr">
        <is>
          <t>AWS SSO service; federates human access to your identity provider with permission sets instead of standing IAM users.</t>
        </is>
      </c>
    </row>
    <row r="13" ht="28" customHeight="1">
      <c r="A13" s="66" t="inlineStr">
        <is>
          <t>Role / STS</t>
        </is>
      </c>
      <c r="B13" s="30" t="inlineStr">
        <is>
          <t>An IAM identity assumed temporarily; STS issues short-lived credentials so nothing long-lived is stored.</t>
        </is>
      </c>
    </row>
    <row r="14" ht="28" customHeight="1">
      <c r="A14" s="66" t="inlineStr">
        <is>
          <t>SCP</t>
        </is>
      </c>
      <c r="B14" s="30" t="inlineStr">
        <is>
          <t>Service Control Policy — an organization-wide guardrail that caps what any account/principal can do, regardless of their IAM policy.</t>
        </is>
      </c>
    </row>
    <row r="15" ht="28" customHeight="1">
      <c r="A15" s="66" t="inlineStr">
        <is>
          <t>KMS / CMK</t>
        </is>
      </c>
      <c r="B15" s="30" t="inlineStr">
        <is>
          <t>Key Management Service; a customer-managed key (CMK) encrypts data at rest with policies and rotation you control.</t>
        </is>
      </c>
    </row>
    <row r="16" ht="28" customHeight="1">
      <c r="A16" s="66" t="inlineStr">
        <is>
          <t>S3 Block Public Access</t>
        </is>
      </c>
      <c r="B16" s="30" t="inlineStr">
        <is>
          <t>Account/bucket setting that prevents S3 data from being exposed publicly by policy or ACL.</t>
        </is>
      </c>
    </row>
    <row r="17" ht="28" customHeight="1">
      <c r="A17" s="66" t="inlineStr">
        <is>
          <t>VPC / security group</t>
        </is>
      </c>
      <c r="B17" s="30" t="inlineStr">
        <is>
          <t>Virtual Private Cloud network isolation; a security group is a stateful virtual firewall on a resource’s network interface.</t>
        </is>
      </c>
    </row>
    <row r="18" ht="28" customHeight="1">
      <c r="A18" s="66" t="inlineStr">
        <is>
          <t>PrivateLink / VPC endpoint</t>
        </is>
      </c>
      <c r="B18" s="30" t="inlineStr">
        <is>
          <t>Private network paths to AWS or partner services so traffic never traverses the public internet.</t>
        </is>
      </c>
    </row>
    <row r="19" ht="28" customHeight="1">
      <c r="A19" s="66" t="inlineStr">
        <is>
          <t>WAF / Shield</t>
        </is>
      </c>
      <c r="B19" s="30" t="inlineStr">
        <is>
          <t>AWS Web Application Firewall (managed rules, rate limiting) and Shield (DDoS protection) at the edge.</t>
        </is>
      </c>
    </row>
    <row r="20" ht="28" customHeight="1">
      <c r="A20" s="66" t="inlineStr">
        <is>
          <t>GuardDuty</t>
        </is>
      </c>
      <c r="B20" s="30" t="inlineStr">
        <is>
          <t>Managed threat detection across accounts, workloads, and data planes (malware, EKS, RDS, Lambda, S3).</t>
        </is>
      </c>
    </row>
    <row r="21" ht="28" customHeight="1">
      <c r="A21" s="66" t="inlineStr">
        <is>
          <t>Security Hub</t>
        </is>
      </c>
      <c r="B21" s="30" t="inlineStr">
        <is>
          <t>Cloud security posture management — aggregates findings and scores config against benchmarks (FSBP, CIS).</t>
        </is>
      </c>
    </row>
    <row r="22" ht="28" customHeight="1">
      <c r="A22" s="66" t="inlineStr">
        <is>
          <t>AWS Config</t>
        </is>
      </c>
      <c r="B22" s="30" t="inlineStr">
        <is>
          <t>Records resource configuration and evaluates it against rules/conformance packs continuously.</t>
        </is>
      </c>
    </row>
    <row r="23" ht="28" customHeight="1">
      <c r="A23" s="66" t="inlineStr">
        <is>
          <t>CloudTrail</t>
        </is>
      </c>
      <c r="B23" s="30" t="inlineStr">
        <is>
          <t>Records every AWS API call — the primary audit log; can be made immutable in a locked log-archive account.</t>
        </is>
      </c>
    </row>
    <row r="24" ht="28" customHeight="1">
      <c r="A24" s="66" t="inlineStr">
        <is>
          <t>Macie</t>
        </is>
      </c>
      <c r="B24" s="30" t="inlineStr">
        <is>
          <t>Managed sensitive-data discovery for PII/PHI in S3.</t>
        </is>
      </c>
    </row>
    <row r="25" ht="28" customHeight="1">
      <c r="A25" s="66" t="inlineStr">
        <is>
          <t>Inspector</t>
        </is>
      </c>
      <c r="B25" s="30" t="inlineStr">
        <is>
          <t>Continuous vulnerability scanning for EC2, containers, and Lambda.</t>
        </is>
      </c>
    </row>
    <row r="26" ht="28" customHeight="1">
      <c r="A26" s="66" t="inlineStr">
        <is>
          <t>Secrets Manager</t>
        </is>
      </c>
      <c r="B26" s="30" t="inlineStr">
        <is>
          <t>Stores and rotates secrets; applications fetch them at runtime by role instead of embedding them.</t>
        </is>
      </c>
    </row>
    <row r="27" ht="28" customHeight="1">
      <c r="A27" s="66" t="inlineStr">
        <is>
          <t>Control Tower</t>
        </is>
      </c>
      <c r="B27" s="30" t="inlineStr">
        <is>
          <t>Sets up and governs a multi-account landing zone with guardrails.</t>
        </is>
      </c>
    </row>
    <row r="28" ht="28" customHeight="1">
      <c r="A28" s="66" t="inlineStr">
        <is>
          <t>Audit Manager</t>
        </is>
      </c>
      <c r="B28" s="30" t="inlineStr">
        <is>
          <t>Automates evidence collection mapped to frameworks (SOC 2, HIPAA, etc.).</t>
        </is>
      </c>
    </row>
    <row r="29" ht="28" customHeight="1">
      <c r="A29" s="66" t="inlineStr">
        <is>
          <t>SOC 2 Type II</t>
        </is>
      </c>
      <c r="B29" s="30" t="inlineStr">
        <is>
          <t>An attestation over a period that controls meeting the Trust Services Criteria (TSC) operate effectively. CC = Common Criteria; A/C/PI/P = Availability, Confidentiality, Processing Integrity, Privacy.</t>
        </is>
      </c>
    </row>
    <row r="30" ht="28" customHeight="1">
      <c r="A30" s="66" t="inlineStr">
        <is>
          <t>CMMC Level 1</t>
        </is>
      </c>
      <c r="B30" s="30" t="inlineStr">
        <is>
          <t>The basic-safeguarding tier (17 practices from FAR 52.204-21) protecting Federal Contract Information (FCI). Physical (PE) practices are largely inherited from AWS.</t>
        </is>
      </c>
    </row>
    <row r="31" ht="28" customHeight="1">
      <c r="A31" s="66" t="inlineStr">
        <is>
          <t>FCI</t>
        </is>
      </c>
      <c r="B31" s="30" t="inlineStr">
        <is>
          <t>Federal Contract Information — non-public info provided/generated under a federal contract; the data CMMC L1 protects.</t>
        </is>
      </c>
    </row>
    <row r="32" ht="28" customHeight="1">
      <c r="A32" s="66" t="inlineStr">
        <is>
          <t>HIPAA Security / Privacy Rule</t>
        </is>
      </c>
      <c r="B32" s="30" t="inlineStr">
        <is>
          <t>Security Rule = administrative (§164.308), physical (§164.310), technical (§164.312) safeguards for ePHI. Privacy Rule = use/disclosure limits, minimum necessary (§164.502), de-identification (§164.514).</t>
        </is>
      </c>
    </row>
    <row r="33" ht="28" customHeight="1">
      <c r="A33" s="66" t="inlineStr">
        <is>
          <t>BAA</t>
        </is>
      </c>
      <c r="B33" s="30" t="inlineStr">
        <is>
          <t>Business Associate Agreement — required with AWS for services processing PHI.</t>
        </is>
      </c>
    </row>
    <row r="34" ht="28" customHeight="1">
      <c r="A34" s="66" t="inlineStr">
        <is>
          <t>EU CRA</t>
        </is>
      </c>
      <c r="B34" s="30" t="inlineStr">
        <is>
          <t>EU Cyber Resilience Act — essential cybersecurity requirements for products with digital elements. Annex I Part I = product requirements; Part II = vulnerability handling (incl. coordinated disclosure).</t>
        </is>
      </c>
    </row>
    <row r="35" ht="40" customHeight="1">
      <c r="A35" s="66" t="inlineStr">
        <is>
          <t>CMMC Level 2</t>
        </is>
      </c>
      <c r="B35" s="30" t="inlineStr">
        <is>
          <t>The advanced tier — all 110 NIST SP 800-171 practices — required to handle Controlled Unclassified Information (CUI). Where CMMC L1 stops, L2 adds encryption, deep audit, configuration and incident-response practices; controls that ‘exceed L1’ here are covered at L2.</t>
        </is>
      </c>
    </row>
    <row r="36" ht="40" customHeight="1">
      <c r="A36" s="66" t="inlineStr">
        <is>
          <t>GDPR</t>
        </is>
      </c>
      <c r="B36" s="30" t="inlineStr">
        <is>
          <t>EU General Data Protection Regulation. This checklist maps the technical security-of-processing measures (Art. 32) and related articles (5, 25, 30, 33/34, 44); GDPR also requires non-technical measures — lawful basis, consent, data-subject rights (Art. 15–22), DPO, DPIAs — that sit outside a technical checklist.</t>
        </is>
      </c>
    </row>
    <row r="37" ht="28" customHeight="1">
      <c r="A37" s="66" t="inlineStr">
        <is>
          <t>SBOM</t>
        </is>
      </c>
      <c r="B37" s="30" t="inlineStr">
        <is>
          <t>Software bill of materials — a component inventory; a CRA expectation for products with digital elements.</t>
        </is>
      </c>
    </row>
    <row r="38" ht="28" customHeight="1">
      <c r="A38" s="66" t="inlineStr">
        <is>
          <t>Well-Architected Security Pillar</t>
        </is>
      </c>
      <c r="B38" s="30" t="inlineStr">
        <is>
          <t>AWS’s security best-practice framework (SEC01–SEC11): identity, detection, infrastructure/data protection, incident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2026-07-01T13:01:15Z</dcterms:created>
  <dcterms:modified xmlns:dcterms="http://purl.org/dc/terms/" xmlns:xsi="http://www.w3.org/2001/XMLSchema-instance" xsi:type="dcterms:W3CDTF">2026-07-01T13:01:15Z</dcterms:modified>
</cp:coreProperties>
</file>